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abellenblat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right" vertical="bottom"/>
    </xf>
    <xf numFmtId="164" fontId="4" fillId="0" borderId="0" applyAlignment="1" pivotButton="0" quotePrefix="0" xfId="0">
      <alignment horizontal="right" vertical="bottom"/>
    </xf>
    <xf numFmtId="1" fontId="4" fillId="0" borderId="0" applyAlignment="1" pivotButton="0" quotePrefix="0" xfId="0">
      <alignment horizontal="general" vertical="bottom"/>
    </xf>
    <xf numFmtId="3" fontId="4" fillId="0" borderId="0" applyAlignment="1" pivotButton="0" quotePrefix="0" xfId="0">
      <alignment horizontal="right" vertical="bottom"/>
    </xf>
    <xf numFmtId="164" fontId="4" fillId="0" borderId="0" applyAlignment="1" pivotButton="0" quotePrefix="0" xfId="0">
      <alignment horizontal="general" vertical="bottom"/>
    </xf>
    <xf numFmtId="3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right" vertical="bottom"/>
    </xf>
    <xf numFmtId="164" fontId="4" fillId="0" borderId="0" applyAlignment="1" pivotButton="0" quotePrefix="0" xfId="0">
      <alignment horizontal="right" vertical="bottom"/>
    </xf>
    <xf numFmtId="1" fontId="4" fillId="0" borderId="0" applyAlignment="1" pivotButton="0" quotePrefix="0" xfId="0">
      <alignment horizontal="general" vertical="bottom"/>
    </xf>
    <xf numFmtId="3" fontId="4" fillId="0" borderId="0" applyAlignment="1" pivotButton="0" quotePrefix="0" xfId="0">
      <alignment horizontal="right" vertical="bottom"/>
    </xf>
    <xf numFmtId="164" fontId="4" fillId="0" borderId="0" applyAlignment="1" pivotButton="0" quotePrefix="0" xfId="0">
      <alignment horizontal="general" vertical="bottom"/>
    </xf>
    <xf numFmtId="3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637"/>
  <sheetViews>
    <sheetView showFormulas="0" showGridLines="1" showRowColHeaders="1" showZeros="1" rightToLeft="0" tabSelected="1" showOutlineSymbols="1" defaultGridColor="1" view="normal" topLeftCell="A127" colorId="64" zoomScale="100" zoomScaleNormal="100" zoomScalePageLayoutView="100" workbookViewId="0">
      <selection pane="topLeft" activeCell="A145" activeCellId="0" sqref="A145"/>
    </sheetView>
  </sheetViews>
  <sheetFormatPr baseColWidth="8" defaultColWidth="12.6328125" defaultRowHeight="15.75" customHeight="0" zeroHeight="0" outlineLevelRow="0"/>
  <cols>
    <col width="38" customWidth="1" style="10" min="1" max="1"/>
    <col width="10" customWidth="1" style="10" min="2" max="2"/>
    <col width="22" customWidth="1" style="10" min="3" max="3"/>
    <col width="12" customWidth="1" style="10" min="4" max="4"/>
    <col width="14" customWidth="1" style="10" min="5" max="6"/>
    <col width="12" customWidth="1" style="10" min="7" max="7"/>
    <col width="14" customWidth="1" style="10" min="8" max="8"/>
    <col width="16" customWidth="1" style="10" min="9" max="9"/>
    <col width="12" customWidth="1" style="10" min="10" max="10"/>
    <col width="16" customWidth="1" style="10" min="11" max="11"/>
    <col width="12" customWidth="1" style="10" min="12" max="12"/>
    <col width="14" customWidth="1" style="10" min="13" max="13"/>
    <col width="12" customWidth="1" style="10" min="14" max="14"/>
    <col width="14" customWidth="1" style="10" min="15" max="15"/>
  </cols>
  <sheetData>
    <row r="1" ht="15.75" customHeight="1" s="11">
      <c r="A1" s="12" t="inlineStr">
        <is>
          <t>Movie</t>
        </is>
      </c>
      <c r="B1" s="12" t="inlineStr">
        <is>
          <t>Movie_ID</t>
        </is>
      </c>
      <c r="C1" s="12" t="inlineStr">
        <is>
          <t>Director</t>
        </is>
      </c>
      <c r="D1" s="12" t="inlineStr">
        <is>
          <t>Release Year</t>
        </is>
      </c>
      <c r="E1" s="12" t="inlineStr">
        <is>
          <t>Letterboxed User Rating</t>
        </is>
      </c>
      <c r="F1" s="12" t="inlineStr">
        <is>
          <t>Metacritic User Rating</t>
        </is>
      </c>
      <c r="G1" s="12" t="inlineStr">
        <is>
          <t>Custom Rating</t>
        </is>
      </c>
      <c r="H1" s="12" t="inlineStr">
        <is>
          <t>Calculated User Rating</t>
        </is>
      </c>
      <c r="I1" s="12" t="inlineStr">
        <is>
          <t>World Wide Box Office</t>
        </is>
      </c>
      <c r="J1" s="12" t="inlineStr">
        <is>
          <t>WWBO estimated?</t>
        </is>
      </c>
      <c r="K1" s="12" t="inlineStr">
        <is>
          <t>Budget</t>
        </is>
      </c>
      <c r="L1" s="12" t="inlineStr">
        <is>
          <t>Budget estimated?</t>
        </is>
      </c>
      <c r="M1" s="12" t="inlineStr">
        <is>
          <t>Original Runtime (min)</t>
        </is>
      </c>
      <c r="N1" s="12" t="inlineStr">
        <is>
          <t>Movie Oscar Wins</t>
        </is>
      </c>
      <c r="O1" s="12" t="inlineStr">
        <is>
          <t>Director Oscar Wins</t>
        </is>
      </c>
      <c r="P1" s="10" t="inlineStr">
        <is>
          <t>Streaming Release</t>
        </is>
      </c>
    </row>
    <row r="2" ht="15.75" customHeight="1" s="11">
      <c r="A2" s="13" t="inlineStr">
        <is>
          <t>The Lord of the Rings: The Return of the King</t>
        </is>
      </c>
      <c r="B2" s="13" t="inlineStr">
        <is>
          <t>card_001</t>
        </is>
      </c>
      <c r="C2" s="13" t="inlineStr">
        <is>
          <t>Peter Jackson</t>
        </is>
      </c>
      <c r="D2" s="14" t="n">
        <v>2003</v>
      </c>
      <c r="E2" s="15" t="n">
        <v>4.6</v>
      </c>
      <c r="F2" s="15" t="n">
        <v>94</v>
      </c>
      <c r="G2" s="14" t="n"/>
      <c r="H2" s="16">
        <f>ROUND((E2/5*100+F2)/2,0)</f>
        <v/>
      </c>
      <c r="I2" s="17" t="n">
        <v>1146030912</v>
      </c>
      <c r="J2" s="14" t="inlineStr">
        <is>
          <t>n</t>
        </is>
      </c>
      <c r="K2" s="17" t="n">
        <v>94000000</v>
      </c>
      <c r="L2" s="14" t="inlineStr">
        <is>
          <t>n</t>
        </is>
      </c>
      <c r="M2" s="14" t="n">
        <v>201</v>
      </c>
      <c r="N2" s="14" t="n">
        <v>11</v>
      </c>
      <c r="O2" s="12" t="n">
        <v>3</v>
      </c>
    </row>
    <row r="3" ht="15.75" customHeight="1" s="11">
      <c r="A3" s="12" t="inlineStr">
        <is>
          <t>The Lord of the Rings: The Two Towers</t>
        </is>
      </c>
      <c r="B3" s="13" t="inlineStr">
        <is>
          <t>card_002</t>
        </is>
      </c>
      <c r="C3" s="12" t="inlineStr">
        <is>
          <t>Peter Jackson</t>
        </is>
      </c>
      <c r="D3" s="12" t="n">
        <v>2002</v>
      </c>
      <c r="E3" s="18" t="n">
        <v>4.4</v>
      </c>
      <c r="F3" s="18" t="n">
        <v>93</v>
      </c>
      <c r="G3" s="12" t="n"/>
      <c r="H3" s="16">
        <f>ROUND((E3/5*100+F3)/2,0)</f>
        <v/>
      </c>
      <c r="I3" s="19" t="n">
        <v>947900000</v>
      </c>
      <c r="J3" s="12" t="inlineStr">
        <is>
          <t>n</t>
        </is>
      </c>
      <c r="K3" s="19" t="n">
        <v>94000000</v>
      </c>
      <c r="L3" s="12" t="inlineStr">
        <is>
          <t>n</t>
        </is>
      </c>
      <c r="M3" s="12" t="n">
        <v>179</v>
      </c>
      <c r="N3" s="12" t="n">
        <v>2</v>
      </c>
      <c r="O3" s="12" t="n">
        <v>3</v>
      </c>
    </row>
    <row r="4" ht="15.75" customHeight="1" s="11">
      <c r="A4" s="12" t="inlineStr">
        <is>
          <t>The Lord of the Rings: The Fellowship of the Ring</t>
        </is>
      </c>
      <c r="B4" s="13" t="inlineStr">
        <is>
          <t>card_003</t>
        </is>
      </c>
      <c r="C4" s="12" t="inlineStr">
        <is>
          <t>Peter Jackson</t>
        </is>
      </c>
      <c r="D4" s="12" t="n">
        <v>2001</v>
      </c>
      <c r="E4" s="18" t="n">
        <v>4.4</v>
      </c>
      <c r="F4" s="18" t="n">
        <v>93</v>
      </c>
      <c r="G4" s="12" t="n"/>
      <c r="H4" s="16">
        <f>ROUND((E4/5*100+F4)/2,0)</f>
        <v/>
      </c>
      <c r="I4" s="19" t="n">
        <v>871530324</v>
      </c>
      <c r="J4" s="12" t="inlineStr">
        <is>
          <t>n</t>
        </is>
      </c>
      <c r="K4" s="19" t="n">
        <v>93000000</v>
      </c>
      <c r="L4" s="12" t="inlineStr">
        <is>
          <t>n</t>
        </is>
      </c>
      <c r="M4" s="12" t="n">
        <v>178</v>
      </c>
      <c r="N4" s="12" t="n">
        <v>4</v>
      </c>
      <c r="O4" s="12" t="n">
        <v>3</v>
      </c>
    </row>
    <row r="5" ht="15.75" customHeight="1" s="11">
      <c r="A5" s="12" t="inlineStr">
        <is>
          <t>The Shawshank Redemption</t>
        </is>
      </c>
      <c r="B5" s="13" t="inlineStr">
        <is>
          <t>card_004</t>
        </is>
      </c>
      <c r="C5" s="12" t="inlineStr">
        <is>
          <t>Frank Darabont</t>
        </is>
      </c>
      <c r="D5" s="12" t="n">
        <v>1994</v>
      </c>
      <c r="E5" s="18" t="n">
        <v>4.6</v>
      </c>
      <c r="F5" s="18" t="n">
        <v>93</v>
      </c>
      <c r="G5" s="12" t="n"/>
      <c r="H5" s="16">
        <f>ROUND((E5/5*100+F5)/2,0)</f>
        <v/>
      </c>
      <c r="I5" s="19" t="n">
        <v>58300000</v>
      </c>
      <c r="J5" s="12" t="inlineStr">
        <is>
          <t>y</t>
        </is>
      </c>
      <c r="K5" s="19" t="n">
        <v>25000000</v>
      </c>
      <c r="L5" s="12" t="inlineStr">
        <is>
          <t>n</t>
        </is>
      </c>
      <c r="M5" s="12" t="n">
        <v>142</v>
      </c>
      <c r="N5" s="12" t="n">
        <v>0</v>
      </c>
      <c r="O5" s="12" t="n">
        <v>0</v>
      </c>
    </row>
    <row r="6" ht="15.75" customHeight="1" s="11">
      <c r="A6" s="12" t="inlineStr">
        <is>
          <t>12 Angry Men</t>
        </is>
      </c>
      <c r="B6" s="13" t="inlineStr">
        <is>
          <t>card_005</t>
        </is>
      </c>
      <c r="C6" s="12" t="inlineStr">
        <is>
          <t>Sidney Lumet</t>
        </is>
      </c>
      <c r="D6" s="12" t="n">
        <v>1957</v>
      </c>
      <c r="E6" s="18" t="n">
        <v>4.6</v>
      </c>
      <c r="F6" s="18" t="n">
        <v>92</v>
      </c>
      <c r="G6" s="12" t="n"/>
      <c r="H6" s="16">
        <f>ROUND((E6/5*100+F6)/2,0)</f>
        <v/>
      </c>
      <c r="I6" s="19" t="n">
        <v>2000000</v>
      </c>
      <c r="J6" s="12" t="inlineStr">
        <is>
          <t>y</t>
        </is>
      </c>
      <c r="K6" s="19" t="n">
        <v>350000</v>
      </c>
      <c r="L6" s="12" t="inlineStr">
        <is>
          <t>n</t>
        </is>
      </c>
      <c r="M6" s="12" t="n">
        <v>96</v>
      </c>
      <c r="N6" s="12" t="n">
        <v>0</v>
      </c>
      <c r="O6" s="12" t="n">
        <v>0</v>
      </c>
    </row>
    <row r="7" ht="15.75" customHeight="1" s="11">
      <c r="A7" s="12" t="inlineStr">
        <is>
          <t>The End of Evangelion</t>
        </is>
      </c>
      <c r="B7" s="13" t="inlineStr">
        <is>
          <t>card_006</t>
        </is>
      </c>
      <c r="C7" s="12" t="inlineStr">
        <is>
          <t>Hideaki Anno</t>
        </is>
      </c>
      <c r="D7" s="12" t="n">
        <v>1997</v>
      </c>
      <c r="E7" s="18" t="n">
        <v>4.5</v>
      </c>
      <c r="F7" s="18" t="n">
        <v>92</v>
      </c>
      <c r="G7" s="12" t="n"/>
      <c r="H7" s="16">
        <f>ROUND((E7/5*100+F7)/2,0)</f>
        <v/>
      </c>
      <c r="I7" s="19" t="n">
        <v>3000000</v>
      </c>
      <c r="J7" s="12" t="inlineStr">
        <is>
          <t>y</t>
        </is>
      </c>
      <c r="K7" s="19" t="n">
        <v>4000000</v>
      </c>
      <c r="L7" s="12" t="inlineStr">
        <is>
          <t>y</t>
        </is>
      </c>
      <c r="M7" s="12" t="n">
        <v>87</v>
      </c>
      <c r="N7" s="12" t="n">
        <v>0</v>
      </c>
      <c r="O7" s="12" t="n">
        <v>0</v>
      </c>
    </row>
    <row r="8" ht="15.75" customHeight="1" s="11">
      <c r="A8" s="12" t="inlineStr">
        <is>
          <t>Star Wars: Episode V - The Empire Strikes Back</t>
        </is>
      </c>
      <c r="B8" s="13" t="inlineStr">
        <is>
          <t>card_007</t>
        </is>
      </c>
      <c r="C8" s="12" t="inlineStr">
        <is>
          <t>Irvin Kershner</t>
        </is>
      </c>
      <c r="D8" s="12" t="n">
        <v>1980</v>
      </c>
      <c r="E8" s="18" t="n">
        <v>4.3</v>
      </c>
      <c r="F8" s="18" t="n">
        <v>92</v>
      </c>
      <c r="G8" s="12" t="n"/>
      <c r="H8" s="16">
        <f>ROUND((E8/5*100+F8)/2,0)</f>
        <v/>
      </c>
      <c r="I8" s="19" t="n">
        <v>538400000</v>
      </c>
      <c r="J8" s="12" t="inlineStr">
        <is>
          <t>n</t>
        </is>
      </c>
      <c r="K8" s="19" t="n">
        <v>18000000</v>
      </c>
      <c r="L8" s="12" t="inlineStr">
        <is>
          <t>n</t>
        </is>
      </c>
      <c r="M8" s="12" t="n">
        <v>124</v>
      </c>
      <c r="N8" s="12" t="n">
        <v>1</v>
      </c>
      <c r="O8" s="12" t="n">
        <v>0</v>
      </c>
    </row>
    <row r="9" ht="15.75" customHeight="1" s="11">
      <c r="A9" s="12" t="inlineStr">
        <is>
          <t>The Good, the Bad and the Ugly</t>
        </is>
      </c>
      <c r="B9" s="13" t="inlineStr">
        <is>
          <t>card_008</t>
        </is>
      </c>
      <c r="C9" s="12" t="inlineStr">
        <is>
          <t>Sergio Leone</t>
        </is>
      </c>
      <c r="D9" s="12" t="n">
        <v>1967</v>
      </c>
      <c r="E9" s="18" t="n">
        <v>4.5</v>
      </c>
      <c r="F9" s="18" t="n">
        <v>92</v>
      </c>
      <c r="G9" s="12" t="n"/>
      <c r="H9" s="16">
        <f>ROUND((E9/5*100+F9)/2,0)</f>
        <v/>
      </c>
      <c r="I9" s="19" t="n">
        <v>25000000</v>
      </c>
      <c r="J9" s="12" t="inlineStr">
        <is>
          <t>y</t>
        </is>
      </c>
      <c r="K9" s="19" t="n">
        <v>1200000</v>
      </c>
      <c r="L9" s="12" t="inlineStr">
        <is>
          <t>n</t>
        </is>
      </c>
      <c r="M9" s="12" t="n">
        <v>178</v>
      </c>
      <c r="N9" s="12" t="n">
        <v>0</v>
      </c>
      <c r="O9" s="12" t="n">
        <v>0</v>
      </c>
    </row>
    <row r="10" ht="15.75" customHeight="1" s="11">
      <c r="A10" s="12" t="inlineStr">
        <is>
          <t>The Godfather</t>
        </is>
      </c>
      <c r="B10" s="13" t="inlineStr">
        <is>
          <t>card_009</t>
        </is>
      </c>
      <c r="C10" s="12" t="inlineStr">
        <is>
          <t>Francis Ford Coppola</t>
        </is>
      </c>
      <c r="D10" s="12" t="n">
        <v>1972</v>
      </c>
      <c r="E10" s="18" t="n">
        <v>4.5</v>
      </c>
      <c r="F10" s="18" t="n">
        <v>92</v>
      </c>
      <c r="G10" s="12" t="n"/>
      <c r="H10" s="16">
        <f>ROUND((E10/5*100+F10)/2,0)</f>
        <v/>
      </c>
      <c r="I10" s="19" t="n">
        <v>250000000</v>
      </c>
      <c r="J10" s="12" t="inlineStr">
        <is>
          <t>y</t>
        </is>
      </c>
      <c r="K10" s="19" t="n">
        <v>6500000</v>
      </c>
      <c r="L10" s="12" t="inlineStr">
        <is>
          <t>n</t>
        </is>
      </c>
      <c r="M10" s="12" t="n">
        <v>175</v>
      </c>
      <c r="N10" s="12" t="n">
        <v>3</v>
      </c>
      <c r="O10" s="12" t="n">
        <v>5</v>
      </c>
    </row>
    <row r="11" ht="15.75" customHeight="1" s="11">
      <c r="A11" s="12" t="inlineStr">
        <is>
          <t>The Dark Knight</t>
        </is>
      </c>
      <c r="B11" s="13" t="inlineStr">
        <is>
          <t>card_010</t>
        </is>
      </c>
      <c r="C11" s="12" t="inlineStr">
        <is>
          <t>Christopher Nolan</t>
        </is>
      </c>
      <c r="D11" s="12" t="n">
        <v>2008</v>
      </c>
      <c r="E11" s="18" t="n">
        <v>4.5</v>
      </c>
      <c r="F11" s="18" t="n">
        <v>91</v>
      </c>
      <c r="G11" s="12" t="n"/>
      <c r="H11" s="16">
        <f>ROUND((E11/5*100+F11)/2,0)</f>
        <v/>
      </c>
      <c r="I11" s="19" t="n">
        <v>1004900000</v>
      </c>
      <c r="J11" s="12" t="inlineStr">
        <is>
          <t>n</t>
        </is>
      </c>
      <c r="K11" s="19" t="n">
        <v>185000000</v>
      </c>
      <c r="L11" s="12" t="inlineStr">
        <is>
          <t>n</t>
        </is>
      </c>
      <c r="M11" s="12" t="n">
        <v>152</v>
      </c>
      <c r="N11" s="12" t="n">
        <v>2</v>
      </c>
      <c r="O11" s="12" t="n">
        <v>2</v>
      </c>
    </row>
    <row r="12" ht="15.75" customHeight="1" s="11">
      <c r="A12" s="12" t="inlineStr">
        <is>
          <t>I'm Still Here</t>
        </is>
      </c>
      <c r="B12" s="13" t="inlineStr">
        <is>
          <t>card_011</t>
        </is>
      </c>
      <c r="C12" s="12" t="inlineStr">
        <is>
          <t>Walter Salles</t>
        </is>
      </c>
      <c r="D12" s="12" t="n">
        <v>2024</v>
      </c>
      <c r="E12" s="18" t="n">
        <v>4.2</v>
      </c>
      <c r="F12" s="18" t="n">
        <v>91</v>
      </c>
      <c r="G12" s="12" t="n"/>
      <c r="H12" s="16">
        <f>ROUND((E12/5*100+F12)/2,0)</f>
        <v/>
      </c>
      <c r="I12" s="19" t="n">
        <v>40000000</v>
      </c>
      <c r="J12" s="12" t="inlineStr">
        <is>
          <t>y</t>
        </is>
      </c>
      <c r="K12" s="19" t="n">
        <v>9000000</v>
      </c>
      <c r="L12" s="12" t="inlineStr">
        <is>
          <t>n</t>
        </is>
      </c>
      <c r="M12" s="12" t="n">
        <v>137</v>
      </c>
      <c r="N12" s="12" t="n">
        <v>1</v>
      </c>
      <c r="O12" s="12" t="n">
        <v>1</v>
      </c>
    </row>
    <row r="13" ht="15.75" customHeight="1" s="11">
      <c r="A13" s="12" t="inlineStr">
        <is>
          <t>Terminator 2: Judgment Day</t>
        </is>
      </c>
      <c r="B13" s="13" t="inlineStr">
        <is>
          <t>card_012</t>
        </is>
      </c>
      <c r="C13" s="12" t="inlineStr">
        <is>
          <t>James Cameron</t>
        </is>
      </c>
      <c r="D13" s="12" t="n">
        <v>1991</v>
      </c>
      <c r="E13" s="18" t="n">
        <v>4.3</v>
      </c>
      <c r="F13" s="18" t="n">
        <v>91</v>
      </c>
      <c r="G13" s="12" t="n"/>
      <c r="H13" s="16">
        <f>ROUND((E13/5*100+F13)/2,0)</f>
        <v/>
      </c>
      <c r="I13" s="19" t="n">
        <v>520000000</v>
      </c>
      <c r="J13" s="12" t="inlineStr">
        <is>
          <t>n</t>
        </is>
      </c>
      <c r="K13" s="19" t="n">
        <v>102000000</v>
      </c>
      <c r="L13" s="12" t="inlineStr">
        <is>
          <t>n</t>
        </is>
      </c>
      <c r="M13" s="12" t="n">
        <v>137</v>
      </c>
      <c r="N13" s="12" t="n">
        <v>4</v>
      </c>
      <c r="O13" s="12" t="n">
        <v>3</v>
      </c>
    </row>
    <row r="14" ht="15.75" customHeight="1" s="11">
      <c r="A14" s="12" t="inlineStr">
        <is>
          <t>The Godfather: Part II</t>
        </is>
      </c>
      <c r="B14" s="13" t="inlineStr">
        <is>
          <t>card_013</t>
        </is>
      </c>
      <c r="C14" s="12" t="inlineStr">
        <is>
          <t>Francis Ford Coppola</t>
        </is>
      </c>
      <c r="D14" s="12" t="n">
        <v>1974</v>
      </c>
      <c r="E14" s="18" t="n">
        <v>4.6</v>
      </c>
      <c r="F14" s="18" t="n">
        <v>91</v>
      </c>
      <c r="G14" s="12" t="n"/>
      <c r="H14" s="16">
        <f>ROUND((E14/5*100+F14)/2,0)</f>
        <v/>
      </c>
      <c r="I14" s="19" t="n">
        <v>48000000</v>
      </c>
      <c r="J14" s="12" t="inlineStr">
        <is>
          <t>y</t>
        </is>
      </c>
      <c r="K14" s="19" t="n">
        <v>13000000</v>
      </c>
      <c r="L14" s="12" t="inlineStr">
        <is>
          <t>n</t>
        </is>
      </c>
      <c r="M14" s="12" t="n">
        <v>202</v>
      </c>
      <c r="N14" s="12" t="n">
        <v>6</v>
      </c>
      <c r="O14" s="12" t="n">
        <v>5</v>
      </c>
    </row>
    <row r="15" ht="15.75" customHeight="1" s="11">
      <c r="A15" s="12" t="inlineStr">
        <is>
          <t>Schindler's List</t>
        </is>
      </c>
      <c r="B15" s="13" t="inlineStr">
        <is>
          <t>card_014</t>
        </is>
      </c>
      <c r="C15" s="12" t="inlineStr">
        <is>
          <t>Steven Spielberg</t>
        </is>
      </c>
      <c r="D15" s="12" t="n">
        <v>1993</v>
      </c>
      <c r="E15" s="18" t="n">
        <v>4.4</v>
      </c>
      <c r="F15" s="18" t="n">
        <v>91</v>
      </c>
      <c r="G15" s="12" t="n"/>
      <c r="H15" s="16">
        <f>ROUND((E15/5*100+F15)/2,0)</f>
        <v/>
      </c>
      <c r="I15" s="19" t="n">
        <v>321200000</v>
      </c>
      <c r="J15" s="12" t="inlineStr">
        <is>
          <t>n</t>
        </is>
      </c>
      <c r="K15" s="19" t="n">
        <v>22000000</v>
      </c>
      <c r="L15" s="12" t="inlineStr">
        <is>
          <t>n</t>
        </is>
      </c>
      <c r="M15" s="12" t="n">
        <v>195</v>
      </c>
      <c r="N15" s="12" t="n">
        <v>7</v>
      </c>
      <c r="O15" s="12" t="n">
        <v>3</v>
      </c>
    </row>
    <row r="16" ht="15.75" customHeight="1" s="11">
      <c r="A16" s="12" t="inlineStr">
        <is>
          <t>Pulp Fiction</t>
        </is>
      </c>
      <c r="B16" s="13" t="inlineStr">
        <is>
          <t>card_015</t>
        </is>
      </c>
      <c r="C16" s="12" t="inlineStr">
        <is>
          <t>Quentin Tarantino</t>
        </is>
      </c>
      <c r="D16" s="12" t="n">
        <v>1994</v>
      </c>
      <c r="E16" s="18" t="n">
        <v>4.3</v>
      </c>
      <c r="F16" s="18" t="n">
        <v>90</v>
      </c>
      <c r="G16" s="12" t="n"/>
      <c r="H16" s="16">
        <f>ROUND((E16/5*100+F16)/2,0)</f>
        <v/>
      </c>
      <c r="I16" s="19" t="n">
        <v>213900000</v>
      </c>
      <c r="J16" s="12" t="inlineStr">
        <is>
          <t>n</t>
        </is>
      </c>
      <c r="K16" s="19" t="n">
        <v>8000000</v>
      </c>
      <c r="L16" s="12" t="inlineStr">
        <is>
          <t>n</t>
        </is>
      </c>
      <c r="M16" s="12" t="n">
        <v>154</v>
      </c>
      <c r="N16" s="12" t="n">
        <v>1</v>
      </c>
      <c r="O16" s="12" t="n">
        <v>2</v>
      </c>
    </row>
    <row r="17" ht="15.75" customHeight="1" s="11">
      <c r="A17" s="12" t="inlineStr">
        <is>
          <t>Goodfellas</t>
        </is>
      </c>
      <c r="B17" s="13" t="inlineStr">
        <is>
          <t>card_016</t>
        </is>
      </c>
      <c r="C17" s="12" t="inlineStr">
        <is>
          <t>Martin Scorsese</t>
        </is>
      </c>
      <c r="D17" s="12" t="n">
        <v>1990</v>
      </c>
      <c r="E17" s="18" t="n">
        <v>4.5</v>
      </c>
      <c r="F17" s="18" t="n">
        <v>90</v>
      </c>
      <c r="G17" s="12" t="n"/>
      <c r="H17" s="16">
        <f>ROUND((E17/5*100+F17)/2,0)</f>
        <v/>
      </c>
      <c r="I17" s="19" t="n">
        <v>47100000</v>
      </c>
      <c r="J17" s="12" t="inlineStr">
        <is>
          <t>n</t>
        </is>
      </c>
      <c r="K17" s="19" t="n">
        <v>25000000</v>
      </c>
      <c r="L17" s="12" t="inlineStr">
        <is>
          <t>n</t>
        </is>
      </c>
      <c r="M17" s="12" t="n">
        <v>146</v>
      </c>
      <c r="N17" s="12" t="n">
        <v>1</v>
      </c>
      <c r="O17" s="12" t="n">
        <v>1</v>
      </c>
    </row>
    <row r="18" ht="15.75" customHeight="1" s="11">
      <c r="A18" s="12" t="inlineStr">
        <is>
          <t>City of God</t>
        </is>
      </c>
      <c r="B18" s="13" t="inlineStr">
        <is>
          <t>card_017</t>
        </is>
      </c>
      <c r="C18" s="12" t="inlineStr">
        <is>
          <t>Fernando Meirelles</t>
        </is>
      </c>
      <c r="D18" s="12" t="n">
        <v>2003</v>
      </c>
      <c r="E18" s="18" t="n">
        <v>4.5</v>
      </c>
      <c r="F18" s="18" t="n">
        <v>90</v>
      </c>
      <c r="G18" s="12" t="n"/>
      <c r="H18" s="16">
        <f>ROUND((E18/5*100+F18)/2,0)</f>
        <v/>
      </c>
      <c r="I18" s="19" t="n">
        <v>30600000</v>
      </c>
      <c r="J18" s="12" t="inlineStr">
        <is>
          <t>n</t>
        </is>
      </c>
      <c r="K18" s="19" t="n">
        <v>3300000</v>
      </c>
      <c r="L18" s="12" t="inlineStr">
        <is>
          <t>n</t>
        </is>
      </c>
      <c r="M18" s="12" t="n">
        <v>130</v>
      </c>
      <c r="N18" s="12" t="n">
        <v>0</v>
      </c>
      <c r="O18" s="12" t="n">
        <v>0</v>
      </c>
    </row>
    <row r="19" ht="15.75" customHeight="1" s="11">
      <c r="A19" s="12" t="inlineStr">
        <is>
          <t>Seven Samurai</t>
        </is>
      </c>
      <c r="B19" s="13" t="inlineStr">
        <is>
          <t>card_018</t>
        </is>
      </c>
      <c r="C19" s="12" t="inlineStr">
        <is>
          <t>Akira Kurosawa</t>
        </is>
      </c>
      <c r="D19" s="12" t="n">
        <v>1956</v>
      </c>
      <c r="E19" s="18" t="n">
        <v>4.7</v>
      </c>
      <c r="F19" s="18" t="n">
        <v>90</v>
      </c>
      <c r="G19" s="12" t="n"/>
      <c r="H19" s="16">
        <f>ROUND((E19/5*100+F19)/2,0)</f>
        <v/>
      </c>
      <c r="I19" s="19" t="n">
        <v>6000000</v>
      </c>
      <c r="J19" s="12" t="inlineStr">
        <is>
          <t>y</t>
        </is>
      </c>
      <c r="K19" s="19" t="n">
        <v>500000</v>
      </c>
      <c r="L19" s="12" t="inlineStr">
        <is>
          <t>y</t>
        </is>
      </c>
      <c r="M19" s="12" t="n">
        <v>207</v>
      </c>
      <c r="N19" s="12" t="n">
        <v>0</v>
      </c>
      <c r="O19" s="12" t="n">
        <v>0</v>
      </c>
    </row>
    <row r="20" ht="15.75" customHeight="1" s="11">
      <c r="A20" s="12" t="inlineStr">
        <is>
          <t>Back to the Future</t>
        </is>
      </c>
      <c r="B20" s="13" t="inlineStr">
        <is>
          <t>card_019</t>
        </is>
      </c>
      <c r="C20" s="12" t="inlineStr">
        <is>
          <t>Robert Zemeckis</t>
        </is>
      </c>
      <c r="D20" s="12" t="n">
        <v>1985</v>
      </c>
      <c r="E20" s="18" t="n">
        <v>4.2</v>
      </c>
      <c r="F20" s="18" t="n">
        <v>90</v>
      </c>
      <c r="G20" s="12" t="n"/>
      <c r="H20" s="16">
        <f>ROUND((E20/5*100+F20)/2,0)</f>
        <v/>
      </c>
      <c r="I20" s="19" t="n">
        <v>388000000</v>
      </c>
      <c r="J20" s="12" t="inlineStr">
        <is>
          <t>n</t>
        </is>
      </c>
      <c r="K20" s="19" t="n">
        <v>19000000</v>
      </c>
      <c r="L20" s="12" t="inlineStr">
        <is>
          <t>n</t>
        </is>
      </c>
      <c r="M20" s="12" t="n">
        <v>116</v>
      </c>
      <c r="N20" s="12" t="n">
        <v>1</v>
      </c>
      <c r="O20" s="12" t="n">
        <v>1</v>
      </c>
    </row>
    <row r="21" ht="15.75" customHeight="1" s="11">
      <c r="A21" s="12" t="inlineStr">
        <is>
          <t>The Ottoman Lieutenant</t>
        </is>
      </c>
      <c r="B21" s="13" t="inlineStr">
        <is>
          <t>card_020</t>
        </is>
      </c>
      <c r="C21" s="12" t="inlineStr">
        <is>
          <t>Joseph Ruben</t>
        </is>
      </c>
      <c r="D21" s="12" t="n">
        <v>2017</v>
      </c>
      <c r="E21" s="18" t="n">
        <v>2.3</v>
      </c>
      <c r="F21" s="18" t="n">
        <v>89</v>
      </c>
      <c r="G21" s="12" t="n"/>
      <c r="H21" s="16">
        <f>ROUND((E21/5*100+F21)/2,0)</f>
        <v/>
      </c>
      <c r="I21" s="19" t="n">
        <v>414000</v>
      </c>
      <c r="J21" s="12" t="inlineStr">
        <is>
          <t>y</t>
        </is>
      </c>
      <c r="K21" s="19" t="n">
        <v>40000000</v>
      </c>
      <c r="L21" s="12" t="inlineStr">
        <is>
          <t>y</t>
        </is>
      </c>
      <c r="M21" s="12" t="n">
        <v>106</v>
      </c>
      <c r="N21" s="12" t="n">
        <v>0</v>
      </c>
      <c r="O21" s="12" t="n">
        <v>0</v>
      </c>
    </row>
    <row r="22" ht="15.75" customHeight="1" s="11">
      <c r="A22" s="12" t="inlineStr">
        <is>
          <t>The Second Mother</t>
        </is>
      </c>
      <c r="B22" s="12" t="inlineStr">
        <is>
          <t>card_021</t>
        </is>
      </c>
      <c r="C22" s="12" t="inlineStr">
        <is>
          <t>Anna Muylaert</t>
        </is>
      </c>
      <c r="D22" s="12" t="n">
        <v>2015</v>
      </c>
      <c r="E22" s="18" t="n">
        <v>4</v>
      </c>
      <c r="F22" s="18" t="n">
        <v>89</v>
      </c>
      <c r="G22" s="12" t="n"/>
      <c r="H22" s="16">
        <f>ROUND((E22/5*100+F22)/2,0)</f>
        <v/>
      </c>
      <c r="I22" s="19" t="n">
        <v>3000000</v>
      </c>
      <c r="J22" s="12" t="inlineStr">
        <is>
          <t>n</t>
        </is>
      </c>
      <c r="K22" s="19" t="n">
        <v>1200000</v>
      </c>
      <c r="L22" s="12" t="inlineStr">
        <is>
          <t>y</t>
        </is>
      </c>
      <c r="M22" s="12" t="n">
        <v>112</v>
      </c>
      <c r="N22" s="12" t="n">
        <v>0</v>
      </c>
      <c r="O22" s="12" t="n">
        <v>0</v>
      </c>
    </row>
    <row r="23" ht="15.75" customHeight="1" s="11">
      <c r="A23" s="12" t="inlineStr">
        <is>
          <t>Joker</t>
        </is>
      </c>
      <c r="B23" s="12" t="inlineStr">
        <is>
          <t>card_022</t>
        </is>
      </c>
      <c r="C23" s="12" t="inlineStr">
        <is>
          <t>Todd Phillips</t>
        </is>
      </c>
      <c r="D23" s="12" t="n">
        <v>2019</v>
      </c>
      <c r="E23" s="18" t="n">
        <v>3.9</v>
      </c>
      <c r="F23" s="18" t="n">
        <v>89</v>
      </c>
      <c r="G23" s="12" t="n"/>
      <c r="H23" s="16">
        <f>ROUND((E23/5*100+F23)/2,0)</f>
        <v/>
      </c>
      <c r="I23" s="19" t="n">
        <v>1074251311</v>
      </c>
      <c r="J23" s="12" t="inlineStr">
        <is>
          <t>n</t>
        </is>
      </c>
      <c r="K23" s="19" t="n">
        <v>55000000</v>
      </c>
      <c r="L23" s="12" t="inlineStr">
        <is>
          <t>n</t>
        </is>
      </c>
      <c r="M23" s="12" t="n">
        <v>122</v>
      </c>
      <c r="N23" s="12" t="n">
        <v>2</v>
      </c>
      <c r="O23" s="12" t="n">
        <v>0</v>
      </c>
    </row>
    <row r="24" ht="15.75" customHeight="1" s="11">
      <c r="A24" s="12" t="inlineStr">
        <is>
          <t>Star Wars: Episode IV - A New Hope</t>
        </is>
      </c>
      <c r="B24" s="12" t="inlineStr">
        <is>
          <t>card_023</t>
        </is>
      </c>
      <c r="C24" s="12" t="inlineStr">
        <is>
          <t>George Lucas</t>
        </is>
      </c>
      <c r="D24" s="12" t="n">
        <v>1977</v>
      </c>
      <c r="E24" s="18" t="n">
        <v>4.2</v>
      </c>
      <c r="F24" s="18" t="n">
        <v>89</v>
      </c>
      <c r="G24" s="12" t="n"/>
      <c r="H24" s="16">
        <f>ROUND((E24/5*100+F24)/2,0)</f>
        <v/>
      </c>
      <c r="I24" s="19" t="n">
        <v>775398007</v>
      </c>
      <c r="J24" s="12" t="inlineStr">
        <is>
          <t>n</t>
        </is>
      </c>
      <c r="K24" s="19" t="n">
        <v>11000000</v>
      </c>
      <c r="L24" s="12" t="inlineStr">
        <is>
          <t>n</t>
        </is>
      </c>
      <c r="M24" s="12" t="n">
        <v>121</v>
      </c>
      <c r="N24" s="12" t="n">
        <v>6</v>
      </c>
      <c r="O24" s="12" t="n">
        <v>0</v>
      </c>
    </row>
    <row r="25" ht="15.75" customHeight="1" s="11">
      <c r="A25" s="12" t="inlineStr">
        <is>
          <t>Jurassic Park</t>
        </is>
      </c>
      <c r="B25" s="12" t="inlineStr">
        <is>
          <t>card_024</t>
        </is>
      </c>
      <c r="C25" s="12" t="inlineStr">
        <is>
          <t>Steven Spielberg</t>
        </is>
      </c>
      <c r="D25" s="12" t="n">
        <v>1993</v>
      </c>
      <c r="E25" s="18" t="n">
        <v>4</v>
      </c>
      <c r="F25" s="18" t="n">
        <v>89</v>
      </c>
      <c r="G25" s="12" t="n"/>
      <c r="H25" s="16">
        <f>ROUND((E25/5*100+F25)/2,0)</f>
        <v/>
      </c>
      <c r="I25" s="19" t="n">
        <v>1046825876</v>
      </c>
      <c r="J25" s="12" t="inlineStr">
        <is>
          <t>n</t>
        </is>
      </c>
      <c r="K25" s="19" t="n">
        <v>63000000</v>
      </c>
      <c r="L25" s="12" t="inlineStr">
        <is>
          <t>n</t>
        </is>
      </c>
      <c r="M25" s="12" t="n">
        <v>127</v>
      </c>
      <c r="N25" s="12" t="n">
        <v>3</v>
      </c>
      <c r="O25" s="12" t="n">
        <v>2</v>
      </c>
    </row>
    <row r="26" ht="15.75" customHeight="1" s="11">
      <c r="A26" s="12" t="inlineStr">
        <is>
          <t>Saving Private Ryan</t>
        </is>
      </c>
      <c r="B26" s="12" t="inlineStr">
        <is>
          <t>card_025</t>
        </is>
      </c>
      <c r="C26" s="12" t="inlineStr">
        <is>
          <t>Steven Spielberg</t>
        </is>
      </c>
      <c r="D26" s="12" t="n">
        <v>1998</v>
      </c>
      <c r="E26" s="18" t="n">
        <v>4.3</v>
      </c>
      <c r="F26" s="18" t="n">
        <v>89</v>
      </c>
      <c r="G26" s="12" t="n"/>
      <c r="H26" s="16">
        <f>ROUND((E26/5*100+F26)/2,0)</f>
        <v/>
      </c>
      <c r="I26" s="19" t="n">
        <v>482349603</v>
      </c>
      <c r="J26" s="12" t="inlineStr">
        <is>
          <t>n</t>
        </is>
      </c>
      <c r="K26" s="19" t="n">
        <v>70000000</v>
      </c>
      <c r="L26" s="12" t="inlineStr">
        <is>
          <t>n</t>
        </is>
      </c>
      <c r="M26" s="12" t="n">
        <v>169</v>
      </c>
      <c r="N26" s="12" t="n">
        <v>5</v>
      </c>
      <c r="O26" s="12" t="n">
        <v>2</v>
      </c>
    </row>
    <row r="27" ht="15.75" customHeight="1" s="11">
      <c r="A27" s="12" t="inlineStr">
        <is>
          <t>The Lion King</t>
        </is>
      </c>
      <c r="B27" s="12" t="inlineStr">
        <is>
          <t>card_026</t>
        </is>
      </c>
      <c r="C27" s="12" t="inlineStr">
        <is>
          <t>Roger Allers</t>
        </is>
      </c>
      <c r="D27" s="12" t="n">
        <v>1994</v>
      </c>
      <c r="E27" s="18" t="n">
        <v>4.2</v>
      </c>
      <c r="F27" s="18" t="n">
        <v>89</v>
      </c>
      <c r="G27" s="12" t="n"/>
      <c r="H27" s="16">
        <f>ROUND((E27/5*100+F27)/2,0)</f>
        <v/>
      </c>
      <c r="I27" s="19" t="n">
        <v>968511805</v>
      </c>
      <c r="J27" s="12" t="inlineStr">
        <is>
          <t>n</t>
        </is>
      </c>
      <c r="K27" s="19" t="n">
        <v>45000000</v>
      </c>
      <c r="L27" s="12" t="inlineStr">
        <is>
          <t>n</t>
        </is>
      </c>
      <c r="M27" s="12" t="n">
        <v>88</v>
      </c>
      <c r="N27" s="12" t="n">
        <v>2</v>
      </c>
      <c r="O27" s="12" t="n">
        <v>0</v>
      </c>
    </row>
    <row r="28" ht="15.75" customHeight="1" s="11">
      <c r="A28" s="12" t="inlineStr">
        <is>
          <t>Cinema Paradiso</t>
        </is>
      </c>
      <c r="B28" s="12" t="inlineStr">
        <is>
          <t>card_027</t>
        </is>
      </c>
      <c r="C28" s="12" t="inlineStr">
        <is>
          <t>Giuseppe Tornatore</t>
        </is>
      </c>
      <c r="D28" s="12" t="n">
        <v>1988</v>
      </c>
      <c r="E28" s="18" t="n">
        <v>4.4</v>
      </c>
      <c r="F28" s="18" t="n">
        <v>89</v>
      </c>
      <c r="G28" s="12" t="n"/>
      <c r="H28" s="16">
        <f>ROUND((E28/5*100+F28)/2,0)</f>
        <v/>
      </c>
      <c r="I28" s="19" t="n">
        <v>12000000</v>
      </c>
      <c r="J28" s="12" t="inlineStr">
        <is>
          <t>y</t>
        </is>
      </c>
      <c r="K28" s="19" t="n">
        <v>5000000</v>
      </c>
      <c r="L28" s="12" t="inlineStr">
        <is>
          <t>y</t>
        </is>
      </c>
      <c r="M28" s="12" t="n">
        <v>124</v>
      </c>
      <c r="N28" s="12" t="n">
        <v>1</v>
      </c>
      <c r="O28" s="12" t="n">
        <v>1</v>
      </c>
    </row>
    <row r="29" ht="15.75" customHeight="1" s="11">
      <c r="A29" s="12" t="inlineStr">
        <is>
          <t>A Separation</t>
        </is>
      </c>
      <c r="B29" s="12" t="inlineStr">
        <is>
          <t>card_028</t>
        </is>
      </c>
      <c r="C29" s="12" t="inlineStr">
        <is>
          <t>Asghar Farhadi</t>
        </is>
      </c>
      <c r="D29" s="12" t="n">
        <v>2011</v>
      </c>
      <c r="E29" s="18" t="n">
        <v>4.3</v>
      </c>
      <c r="F29" s="18" t="n">
        <v>89</v>
      </c>
      <c r="G29" s="12" t="n"/>
      <c r="H29" s="16">
        <f>ROUND((E29/5*100+F29)/2,0)</f>
        <v/>
      </c>
      <c r="I29" s="19" t="n">
        <v>23000000</v>
      </c>
      <c r="J29" s="12" t="inlineStr">
        <is>
          <t>n</t>
        </is>
      </c>
      <c r="K29" s="19" t="n">
        <v>500000</v>
      </c>
      <c r="L29" s="12" t="inlineStr">
        <is>
          <t>y</t>
        </is>
      </c>
      <c r="M29" s="12" t="n">
        <v>123</v>
      </c>
      <c r="N29" s="12" t="n">
        <v>1</v>
      </c>
      <c r="O29" s="12" t="n">
        <v>2</v>
      </c>
    </row>
    <row r="30" ht="15.75" customHeight="1" s="11">
      <c r="A30" s="12" t="inlineStr">
        <is>
          <t>WALL-E</t>
        </is>
      </c>
      <c r="B30" s="12" t="inlineStr">
        <is>
          <t>card_029</t>
        </is>
      </c>
      <c r="C30" s="12" t="inlineStr">
        <is>
          <t>Andrew Stanton</t>
        </is>
      </c>
      <c r="D30" s="12" t="n">
        <v>2008</v>
      </c>
      <c r="E30" s="18" t="n">
        <v>4.3</v>
      </c>
      <c r="F30" s="18" t="n">
        <v>89</v>
      </c>
      <c r="G30" s="12" t="n"/>
      <c r="H30" s="16">
        <f>ROUND((E30/5*100+F30)/2,0)</f>
        <v/>
      </c>
      <c r="I30" s="19" t="n">
        <v>521311860</v>
      </c>
      <c r="J30" s="12" t="inlineStr">
        <is>
          <t>n</t>
        </is>
      </c>
      <c r="K30" s="19" t="n">
        <v>180000000</v>
      </c>
      <c r="L30" s="12" t="inlineStr">
        <is>
          <t>n</t>
        </is>
      </c>
      <c r="M30" s="12" t="n">
        <v>98</v>
      </c>
      <c r="N30" s="12" t="n">
        <v>1</v>
      </c>
      <c r="O30" s="12" t="n">
        <v>2</v>
      </c>
    </row>
    <row r="31" ht="15.75" customHeight="1" s="11">
      <c r="A31" s="12" t="inlineStr">
        <is>
          <t>Forrest Gump</t>
        </is>
      </c>
      <c r="B31" s="12" t="inlineStr">
        <is>
          <t>card_030</t>
        </is>
      </c>
      <c r="C31" s="12" t="inlineStr">
        <is>
          <t>Robert Zemeckis</t>
        </is>
      </c>
      <c r="D31" s="12" t="n">
        <v>1994</v>
      </c>
      <c r="E31" s="18" t="n">
        <v>4.1</v>
      </c>
      <c r="F31" s="18" t="n">
        <v>89</v>
      </c>
      <c r="G31" s="12" t="n"/>
      <c r="H31" s="16">
        <f>ROUND((E31/5*100+F31)/2,0)</f>
        <v/>
      </c>
      <c r="I31" s="19" t="n">
        <v>678226465</v>
      </c>
      <c r="J31" s="12" t="inlineStr">
        <is>
          <t>n</t>
        </is>
      </c>
      <c r="K31" s="19" t="n">
        <v>55000000</v>
      </c>
      <c r="L31" s="12" t="inlineStr">
        <is>
          <t>n</t>
        </is>
      </c>
      <c r="M31" s="12" t="n">
        <v>142</v>
      </c>
      <c r="N31" s="12" t="n">
        <v>6</v>
      </c>
      <c r="O31" s="12" t="n">
        <v>1</v>
      </c>
    </row>
    <row r="32" ht="15.75" customHeight="1" s="11">
      <c r="A32" s="12" t="inlineStr">
        <is>
          <t>Alien</t>
        </is>
      </c>
      <c r="B32" s="12" t="inlineStr">
        <is>
          <t>card_031</t>
        </is>
      </c>
      <c r="C32" s="12" t="inlineStr">
        <is>
          <t>Ridley Scott</t>
        </is>
      </c>
      <c r="D32" s="12" t="n">
        <v>1979</v>
      </c>
      <c r="E32" s="18" t="n">
        <v>4.2</v>
      </c>
      <c r="F32" s="18" t="n">
        <v>89</v>
      </c>
      <c r="G32" s="12" t="n"/>
      <c r="H32" s="16">
        <f>ROUND((E32/5*100+F32)/2,0)</f>
        <v/>
      </c>
      <c r="I32" s="19" t="n">
        <v>203630655</v>
      </c>
      <c r="J32" s="12" t="inlineStr">
        <is>
          <t>n</t>
        </is>
      </c>
      <c r="K32" s="19" t="n">
        <v>11000000</v>
      </c>
      <c r="L32" s="12" t="inlineStr">
        <is>
          <t>n</t>
        </is>
      </c>
      <c r="M32" s="12" t="n">
        <v>117</v>
      </c>
      <c r="N32" s="12" t="n">
        <v>1</v>
      </c>
      <c r="O32" s="12" t="n">
        <v>0</v>
      </c>
    </row>
    <row r="33" ht="15.75" customHeight="1" s="11">
      <c r="A33" s="12" t="inlineStr">
        <is>
          <t>Princess Mononoke</t>
        </is>
      </c>
      <c r="B33" s="12" t="inlineStr">
        <is>
          <t>card_032</t>
        </is>
      </c>
      <c r="C33" s="12" t="inlineStr">
        <is>
          <t>Hayao Miyazaki</t>
        </is>
      </c>
      <c r="D33" s="12" t="n">
        <v>1997</v>
      </c>
      <c r="E33" s="18" t="n">
        <v>4.3</v>
      </c>
      <c r="F33" s="18" t="n">
        <v>89</v>
      </c>
      <c r="G33" s="12" t="n"/>
      <c r="H33" s="16">
        <f>ROUND((E33/5*100+F33)/2,0)</f>
        <v/>
      </c>
      <c r="I33" s="19" t="n">
        <v>169700000</v>
      </c>
      <c r="J33" s="12" t="inlineStr">
        <is>
          <t>n</t>
        </is>
      </c>
      <c r="K33" s="19" t="n">
        <v>23500000</v>
      </c>
      <c r="L33" s="12" t="inlineStr">
        <is>
          <t>n</t>
        </is>
      </c>
      <c r="M33" s="12" t="n">
        <v>134</v>
      </c>
      <c r="N33" s="12" t="n">
        <v>0</v>
      </c>
      <c r="O33" s="12" t="n">
        <v>1</v>
      </c>
    </row>
    <row r="34" ht="15.75" customHeight="1" s="11">
      <c r="A34" s="12" t="inlineStr">
        <is>
          <t>Toy Story</t>
        </is>
      </c>
      <c r="B34" s="12" t="inlineStr">
        <is>
          <t>card_033</t>
        </is>
      </c>
      <c r="C34" s="12" t="inlineStr">
        <is>
          <t>John Lasseter</t>
        </is>
      </c>
      <c r="D34" s="12" t="n">
        <v>1995</v>
      </c>
      <c r="E34" s="18" t="n">
        <v>4.1</v>
      </c>
      <c r="F34" s="18" t="n">
        <v>89</v>
      </c>
      <c r="G34" s="12" t="n"/>
      <c r="H34" s="16">
        <f>ROUND((E34/5*100+F34)/2,0)</f>
        <v/>
      </c>
      <c r="I34" s="19" t="n">
        <v>373554033</v>
      </c>
      <c r="J34" s="12" t="inlineStr">
        <is>
          <t>n</t>
        </is>
      </c>
      <c r="K34" s="19" t="n">
        <v>30000000</v>
      </c>
      <c r="L34" s="12" t="inlineStr">
        <is>
          <t>n</t>
        </is>
      </c>
      <c r="M34" s="12" t="n">
        <v>81</v>
      </c>
      <c r="N34" s="12" t="n">
        <v>0</v>
      </c>
      <c r="O34" s="12" t="n">
        <v>0</v>
      </c>
    </row>
    <row r="35" ht="15.75" customHeight="1" s="11">
      <c r="A35" s="12" t="inlineStr">
        <is>
          <t>The Matrix</t>
        </is>
      </c>
      <c r="B35" s="12" t="inlineStr">
        <is>
          <t>card_034</t>
        </is>
      </c>
      <c r="C35" s="12" t="inlineStr">
        <is>
          <t>Lana Wachowski</t>
        </is>
      </c>
      <c r="D35" s="12" t="n">
        <v>1999</v>
      </c>
      <c r="E35" s="18" t="n">
        <v>4.2</v>
      </c>
      <c r="F35" s="18" t="n">
        <v>89</v>
      </c>
      <c r="G35" s="12" t="n"/>
      <c r="H35" s="16">
        <f>ROUND((E35/5*100+F35)/2,0)</f>
        <v/>
      </c>
      <c r="I35" s="19" t="n">
        <v>465343787</v>
      </c>
      <c r="J35" s="12" t="inlineStr">
        <is>
          <t>n</t>
        </is>
      </c>
      <c r="K35" s="19" t="n">
        <v>63000000</v>
      </c>
      <c r="L35" s="12" t="inlineStr">
        <is>
          <t>n</t>
        </is>
      </c>
      <c r="M35" s="12" t="n">
        <v>136</v>
      </c>
      <c r="N35" s="12" t="n">
        <v>4</v>
      </c>
      <c r="O35" s="12" t="n">
        <v>0</v>
      </c>
    </row>
    <row r="36" ht="15.75" customHeight="1" s="11">
      <c r="A36" s="12" t="inlineStr">
        <is>
          <t>Fight Club</t>
        </is>
      </c>
      <c r="B36" s="12" t="inlineStr">
        <is>
          <t>card_035</t>
        </is>
      </c>
      <c r="C36" s="12" t="inlineStr">
        <is>
          <t>David Fincher</t>
        </is>
      </c>
      <c r="D36" s="12" t="n">
        <v>1999</v>
      </c>
      <c r="E36" s="18" t="n">
        <v>4.3</v>
      </c>
      <c r="F36" s="18" t="n">
        <v>89</v>
      </c>
      <c r="G36" s="12" t="n"/>
      <c r="H36" s="16">
        <f>ROUND((E36/5*100+F36)/2,0)</f>
        <v/>
      </c>
      <c r="I36" s="19" t="n">
        <v>101209702</v>
      </c>
      <c r="J36" s="12" t="inlineStr">
        <is>
          <t>n</t>
        </is>
      </c>
      <c r="K36" s="19" t="n">
        <v>63000000</v>
      </c>
      <c r="L36" s="12" t="inlineStr">
        <is>
          <t>n</t>
        </is>
      </c>
      <c r="M36" s="12" t="n">
        <v>139</v>
      </c>
      <c r="N36" s="12" t="n">
        <v>0</v>
      </c>
      <c r="O36" s="12" t="n">
        <v>0</v>
      </c>
    </row>
    <row r="37" ht="15.75" customHeight="1" s="11">
      <c r="A37" s="12" t="inlineStr">
        <is>
          <t>Chainsaw Man - The Movie: Reze Arc</t>
        </is>
      </c>
      <c r="B37" s="12" t="inlineStr">
        <is>
          <t>card_036</t>
        </is>
      </c>
      <c r="C37" s="12" t="inlineStr">
        <is>
          <t>Tatsuya Yoshihara</t>
        </is>
      </c>
      <c r="D37" s="12" t="n">
        <v>2025</v>
      </c>
      <c r="E37" s="18" t="n">
        <v>4.1</v>
      </c>
      <c r="F37" s="18" t="n">
        <v>89</v>
      </c>
      <c r="G37" s="12" t="n"/>
      <c r="H37" s="16">
        <f>ROUND((E37/5*100+F37)/2,0)</f>
        <v/>
      </c>
      <c r="I37" s="19" t="n">
        <v>130000000</v>
      </c>
      <c r="J37" s="12" t="inlineStr">
        <is>
          <t>y</t>
        </is>
      </c>
      <c r="K37" s="19" t="n">
        <v>15000000</v>
      </c>
      <c r="L37" s="12" t="inlineStr">
        <is>
          <t>y</t>
        </is>
      </c>
      <c r="M37" s="12" t="n">
        <v>100</v>
      </c>
      <c r="N37" s="12" t="n">
        <v>0</v>
      </c>
      <c r="O37" s="12" t="n">
        <v>0</v>
      </c>
    </row>
    <row r="38" ht="15.75" customHeight="1" s="11">
      <c r="A38" s="12" t="inlineStr">
        <is>
          <t>Your Name.</t>
        </is>
      </c>
      <c r="B38" s="12" t="inlineStr">
        <is>
          <t>card_037</t>
        </is>
      </c>
      <c r="C38" s="12" t="inlineStr">
        <is>
          <t>Makoto Shinkai</t>
        </is>
      </c>
      <c r="D38" s="12" t="n">
        <v>2016</v>
      </c>
      <c r="E38" s="18" t="n">
        <v>4.3</v>
      </c>
      <c r="F38" s="18" t="n">
        <v>89</v>
      </c>
      <c r="G38" s="12" t="n"/>
      <c r="H38" s="16">
        <f>ROUND((E38/5*100+F38)/2,0)</f>
        <v/>
      </c>
      <c r="I38" s="19" t="n">
        <v>380000000</v>
      </c>
      <c r="J38" s="12" t="inlineStr">
        <is>
          <t>n</t>
        </is>
      </c>
      <c r="K38" s="19" t="n">
        <v>8000000</v>
      </c>
      <c r="L38" s="12" t="inlineStr">
        <is>
          <t>y</t>
        </is>
      </c>
      <c r="M38" s="12" t="n">
        <v>106</v>
      </c>
      <c r="N38" s="12" t="n">
        <v>0</v>
      </c>
      <c r="O38" s="12" t="n">
        <v>0</v>
      </c>
    </row>
    <row r="39" ht="15.75" customHeight="1" s="11">
      <c r="A39" s="12" t="inlineStr">
        <is>
          <t>Aliens</t>
        </is>
      </c>
      <c r="B39" s="12" t="inlineStr">
        <is>
          <t>card_038</t>
        </is>
      </c>
      <c r="C39" s="12" t="inlineStr">
        <is>
          <t>James Cameron</t>
        </is>
      </c>
      <c r="D39" s="12" t="n">
        <v>1986</v>
      </c>
      <c r="E39" s="18" t="n">
        <v>4.2</v>
      </c>
      <c r="F39" s="18" t="n">
        <v>89</v>
      </c>
      <c r="G39" s="12" t="n"/>
      <c r="H39" s="16">
        <f>ROUND((E39/5*100+F39)/2,0)</f>
        <v/>
      </c>
      <c r="I39" s="19" t="n">
        <v>183316455</v>
      </c>
      <c r="J39" s="12" t="inlineStr">
        <is>
          <t>n</t>
        </is>
      </c>
      <c r="K39" s="19" t="n">
        <v>18000000</v>
      </c>
      <c r="L39" s="12" t="inlineStr">
        <is>
          <t>n</t>
        </is>
      </c>
      <c r="M39" s="12" t="n">
        <v>137</v>
      </c>
      <c r="N39" s="12" t="n">
        <v>2</v>
      </c>
      <c r="O39" s="12" t="n">
        <v>3</v>
      </c>
    </row>
    <row r="40" ht="15.75" customHeight="1" s="11">
      <c r="A40" s="12" t="inlineStr">
        <is>
          <t>Honeyland</t>
        </is>
      </c>
      <c r="B40" s="12" t="inlineStr">
        <is>
          <t>card_039</t>
        </is>
      </c>
      <c r="C40" s="12" t="inlineStr">
        <is>
          <t>Tamara Kotevska</t>
        </is>
      </c>
      <c r="D40" s="12" t="n">
        <v>2019</v>
      </c>
      <c r="E40" s="18" t="n">
        <v>4.2</v>
      </c>
      <c r="F40" s="18" t="n">
        <v>88</v>
      </c>
      <c r="G40" s="12" t="n"/>
      <c r="H40" s="16">
        <f>ROUND((E40/5*100+F40)/2,0)</f>
        <v/>
      </c>
      <c r="I40" s="19" t="n">
        <v>1000000</v>
      </c>
      <c r="J40" s="12" t="inlineStr">
        <is>
          <t>y</t>
        </is>
      </c>
      <c r="K40" s="19" t="n">
        <v>50000</v>
      </c>
      <c r="L40" s="12" t="inlineStr">
        <is>
          <t>y</t>
        </is>
      </c>
      <c r="M40" s="12" t="n">
        <v>85</v>
      </c>
      <c r="N40" s="12" t="n">
        <v>0</v>
      </c>
      <c r="O40" s="12" t="n">
        <v>0</v>
      </c>
    </row>
    <row r="41" ht="15.75" customHeight="1" s="11">
      <c r="A41" s="12" t="inlineStr">
        <is>
          <t>The Thing</t>
        </is>
      </c>
      <c r="B41" s="12" t="inlineStr">
        <is>
          <t>card_040</t>
        </is>
      </c>
      <c r="C41" s="12" t="inlineStr">
        <is>
          <t>John Carpenter</t>
        </is>
      </c>
      <c r="D41" s="12" t="n">
        <v>1982</v>
      </c>
      <c r="E41" s="18" t="n">
        <v>4.2</v>
      </c>
      <c r="F41" s="18" t="n">
        <v>88</v>
      </c>
      <c r="G41" s="12" t="n"/>
      <c r="H41" s="16">
        <f>ROUND((E41/5*100+F41)/2,0)</f>
        <v/>
      </c>
      <c r="I41" s="19" t="n">
        <v>19629760</v>
      </c>
      <c r="J41" s="12" t="inlineStr">
        <is>
          <t>n</t>
        </is>
      </c>
      <c r="K41" s="19" t="n">
        <v>15000000</v>
      </c>
      <c r="L41" s="12" t="inlineStr">
        <is>
          <t>n</t>
        </is>
      </c>
      <c r="M41" s="12" t="n">
        <v>109</v>
      </c>
      <c r="N41" s="12" t="n">
        <v>0</v>
      </c>
      <c r="O41" s="12" t="n">
        <v>0</v>
      </c>
    </row>
    <row r="42" ht="15.75" customHeight="1" s="11">
      <c r="A42" s="12" t="inlineStr">
        <is>
          <t>A Silent Voice</t>
        </is>
      </c>
      <c r="B42" s="12" t="inlineStr">
        <is>
          <t>card_041</t>
        </is>
      </c>
      <c r="C42" s="12" t="inlineStr">
        <is>
          <t>Naoko Yamada</t>
        </is>
      </c>
      <c r="D42" s="12" t="n">
        <v>2016</v>
      </c>
      <c r="E42" s="18" t="n">
        <v>4.3</v>
      </c>
      <c r="F42" s="18" t="n">
        <v>88</v>
      </c>
      <c r="G42" s="12" t="n"/>
      <c r="H42" s="16">
        <f>ROUND((E42/5*100+F42)/2,0)</f>
        <v/>
      </c>
      <c r="I42" s="19" t="n">
        <v>34000000</v>
      </c>
      <c r="J42" s="12" t="inlineStr">
        <is>
          <t>y</t>
        </is>
      </c>
      <c r="K42" s="19" t="n">
        <v>5000000</v>
      </c>
      <c r="L42" s="12" t="inlineStr">
        <is>
          <t>y</t>
        </is>
      </c>
      <c r="M42" s="12" t="n">
        <v>130</v>
      </c>
      <c r="N42" s="12" t="n">
        <v>0</v>
      </c>
      <c r="O42" s="12" t="n">
        <v>0</v>
      </c>
    </row>
    <row r="43" ht="15.75" customHeight="1" s="11">
      <c r="A43" s="12" t="inlineStr">
        <is>
          <t>Toy Story 3</t>
        </is>
      </c>
      <c r="B43" s="12" t="inlineStr">
        <is>
          <t>card_042</t>
        </is>
      </c>
      <c r="C43" s="12" t="inlineStr">
        <is>
          <t>Lee Unkrich</t>
        </is>
      </c>
      <c r="D43" s="12" t="n">
        <v>2010</v>
      </c>
      <c r="E43" s="18" t="n">
        <v>4.2</v>
      </c>
      <c r="F43" s="18" t="n">
        <v>88</v>
      </c>
      <c r="G43" s="12" t="n"/>
      <c r="H43" s="16">
        <f>ROUND((E43/5*100+F43)/2,0)</f>
        <v/>
      </c>
      <c r="I43" s="19" t="n">
        <v>1066969703</v>
      </c>
      <c r="J43" s="12" t="inlineStr">
        <is>
          <t>n</t>
        </is>
      </c>
      <c r="K43" s="19" t="n">
        <v>200000000</v>
      </c>
      <c r="L43" s="12" t="inlineStr">
        <is>
          <t>n</t>
        </is>
      </c>
      <c r="M43" s="12" t="n">
        <v>103</v>
      </c>
      <c r="N43" s="12" t="n">
        <v>2</v>
      </c>
      <c r="O43" s="12" t="n">
        <v>2</v>
      </c>
    </row>
    <row r="44" ht="15.75" customHeight="1" s="11">
      <c r="A44" s="12" t="inlineStr">
        <is>
          <t>Puella Magi Madoka Magica the Movie Part III: Rebellion</t>
        </is>
      </c>
      <c r="B44" s="12" t="inlineStr">
        <is>
          <t>card_043</t>
        </is>
      </c>
      <c r="C44" s="12" t="inlineStr">
        <is>
          <t>Akiyuki Shinbo</t>
        </is>
      </c>
      <c r="D44" s="12" t="n">
        <v>2013</v>
      </c>
      <c r="E44" s="18" t="n">
        <v>4</v>
      </c>
      <c r="F44" s="18" t="n">
        <v>88</v>
      </c>
      <c r="G44" s="12" t="n"/>
      <c r="H44" s="16">
        <f>ROUND((E44/5*100+F44)/2,0)</f>
        <v/>
      </c>
      <c r="I44" s="19" t="n">
        <v>20000000</v>
      </c>
      <c r="J44" s="12" t="inlineStr">
        <is>
          <t>y</t>
        </is>
      </c>
      <c r="K44" s="19" t="n">
        <v>3000000</v>
      </c>
      <c r="L44" s="12" t="inlineStr">
        <is>
          <t>y</t>
        </is>
      </c>
      <c r="M44" s="12" t="n">
        <v>120</v>
      </c>
      <c r="N44" s="12" t="n">
        <v>0</v>
      </c>
      <c r="O44" s="12" t="n">
        <v>0</v>
      </c>
    </row>
    <row r="45" ht="15.75" customHeight="1" s="11">
      <c r="A45" s="12" t="inlineStr">
        <is>
          <t>Parasite</t>
        </is>
      </c>
      <c r="B45" s="12" t="inlineStr">
        <is>
          <t>card_044</t>
        </is>
      </c>
      <c r="C45" s="12" t="inlineStr">
        <is>
          <t>Bong Joon-ho</t>
        </is>
      </c>
      <c r="D45" s="12" t="n">
        <v>2019</v>
      </c>
      <c r="E45" s="18" t="n">
        <v>4.6</v>
      </c>
      <c r="F45" s="18" t="n">
        <v>88</v>
      </c>
      <c r="G45" s="12" t="n"/>
      <c r="H45" s="16">
        <f>ROUND((E45/5*100+F45)/2,0)</f>
        <v/>
      </c>
      <c r="I45" s="19" t="n">
        <v>263133758</v>
      </c>
      <c r="J45" s="12" t="inlineStr">
        <is>
          <t>n</t>
        </is>
      </c>
      <c r="K45" s="19" t="n">
        <v>11363000</v>
      </c>
      <c r="L45" s="12" t="inlineStr">
        <is>
          <t>n</t>
        </is>
      </c>
      <c r="M45" s="12" t="n">
        <v>132</v>
      </c>
      <c r="N45" s="12" t="n">
        <v>4</v>
      </c>
      <c r="O45" s="12" t="n">
        <v>3</v>
      </c>
    </row>
    <row r="46" ht="15.75" customHeight="1" s="11">
      <c r="A46" s="12" t="inlineStr">
        <is>
          <t>Psycho</t>
        </is>
      </c>
      <c r="B46" s="12" t="inlineStr">
        <is>
          <t>card_045</t>
        </is>
      </c>
      <c r="C46" s="12" t="inlineStr">
        <is>
          <t>Alfred Hitchcock</t>
        </is>
      </c>
      <c r="D46" s="12" t="n">
        <v>1960</v>
      </c>
      <c r="E46" s="18" t="n">
        <v>4.3</v>
      </c>
      <c r="F46" s="18" t="n">
        <v>88</v>
      </c>
      <c r="G46" s="12" t="n"/>
      <c r="H46" s="16">
        <f>ROUND((E46/5*100+F46)/2,0)</f>
        <v/>
      </c>
      <c r="I46" s="19" t="n">
        <v>50000000</v>
      </c>
      <c r="J46" s="12" t="inlineStr">
        <is>
          <t>y</t>
        </is>
      </c>
      <c r="K46" s="19" t="n">
        <v>806947</v>
      </c>
      <c r="L46" s="12" t="inlineStr">
        <is>
          <t>n</t>
        </is>
      </c>
      <c r="M46" s="12" t="n">
        <v>109</v>
      </c>
      <c r="N46" s="12" t="n">
        <v>0</v>
      </c>
      <c r="O46" s="12" t="n">
        <v>0</v>
      </c>
    </row>
    <row r="47" ht="15.75" customHeight="1" s="11">
      <c r="A47" s="12" t="inlineStr">
        <is>
          <t>Memento</t>
        </is>
      </c>
      <c r="B47" s="12" t="inlineStr">
        <is>
          <t>card_046</t>
        </is>
      </c>
      <c r="C47" s="12" t="inlineStr">
        <is>
          <t>Christopher Nolan</t>
        </is>
      </c>
      <c r="D47" s="12" t="n">
        <v>2001</v>
      </c>
      <c r="E47" s="18" t="n">
        <v>4.2</v>
      </c>
      <c r="F47" s="18" t="n">
        <v>88</v>
      </c>
      <c r="G47" s="12" t="n"/>
      <c r="H47" s="16">
        <f>ROUND((E47/5*100+F47)/2,0)</f>
        <v/>
      </c>
      <c r="I47" s="19" t="n">
        <v>39723960</v>
      </c>
      <c r="J47" s="12" t="inlineStr">
        <is>
          <t>n</t>
        </is>
      </c>
      <c r="K47" s="19" t="n">
        <v>9000000</v>
      </c>
      <c r="L47" s="12" t="inlineStr">
        <is>
          <t>n</t>
        </is>
      </c>
      <c r="M47" s="12" t="n">
        <v>113</v>
      </c>
      <c r="N47" s="12" t="n">
        <v>0</v>
      </c>
      <c r="O47" s="12" t="n">
        <v>2</v>
      </c>
    </row>
    <row r="48" ht="15.75" customHeight="1" s="11">
      <c r="A48" s="12" t="inlineStr">
        <is>
          <t>Dr. Strangelove or: How I Learned to Stop Worrying and Love the Bomb</t>
        </is>
      </c>
      <c r="B48" s="12" t="inlineStr">
        <is>
          <t>card_047</t>
        </is>
      </c>
      <c r="C48" s="12" t="inlineStr">
        <is>
          <t>Stanley Kubrick</t>
        </is>
      </c>
      <c r="D48" s="12" t="n">
        <v>1964</v>
      </c>
      <c r="E48" s="18" t="n">
        <v>4.3</v>
      </c>
      <c r="F48" s="18" t="n">
        <v>88</v>
      </c>
      <c r="G48" s="12" t="n"/>
      <c r="H48" s="16">
        <f>ROUND((E48/5*100+F48)/2,0)</f>
        <v/>
      </c>
      <c r="I48" s="19" t="n">
        <v>9164370</v>
      </c>
      <c r="J48" s="12" t="inlineStr">
        <is>
          <t>n</t>
        </is>
      </c>
      <c r="K48" s="19" t="n">
        <v>1800000</v>
      </c>
      <c r="L48" s="12" t="inlineStr">
        <is>
          <t>n</t>
        </is>
      </c>
      <c r="M48" s="12" t="n">
        <v>95</v>
      </c>
      <c r="N48" s="12" t="n">
        <v>0</v>
      </c>
      <c r="O48" s="12" t="n">
        <v>1</v>
      </c>
    </row>
    <row r="49" ht="15.75" customHeight="1" s="11">
      <c r="A49" s="12" t="inlineStr">
        <is>
          <t>One Flew Over the Cuckoo's Nest</t>
        </is>
      </c>
      <c r="B49" s="12" t="inlineStr">
        <is>
          <t>card_048</t>
        </is>
      </c>
      <c r="C49" s="12" t="inlineStr">
        <is>
          <t>Milos Forman</t>
        </is>
      </c>
      <c r="D49" s="12" t="n">
        <v>1975</v>
      </c>
      <c r="E49" s="18" t="n">
        <v>4.4</v>
      </c>
      <c r="F49" s="18" t="n">
        <v>88</v>
      </c>
      <c r="G49" s="12" t="n"/>
      <c r="H49" s="16">
        <f>ROUND((E49/5*100+F49)/2,0)</f>
        <v/>
      </c>
      <c r="I49" s="19" t="n">
        <v>109000000</v>
      </c>
      <c r="J49" s="12" t="inlineStr">
        <is>
          <t>y</t>
        </is>
      </c>
      <c r="K49" s="19" t="n">
        <v>4400000</v>
      </c>
      <c r="L49" s="12" t="inlineStr">
        <is>
          <t>n</t>
        </is>
      </c>
      <c r="M49" s="12" t="n">
        <v>133</v>
      </c>
      <c r="N49" s="12" t="n">
        <v>5</v>
      </c>
      <c r="O49" s="12" t="n">
        <v>2</v>
      </c>
    </row>
    <row r="50" ht="15.75" customHeight="1" s="11">
      <c r="A50" s="12" t="inlineStr">
        <is>
          <t>Eternal Sunshine of the Spotless Mind</t>
        </is>
      </c>
      <c r="B50" s="12" t="inlineStr">
        <is>
          <t>card_049</t>
        </is>
      </c>
      <c r="C50" s="12" t="inlineStr">
        <is>
          <t>Michel Gondry</t>
        </is>
      </c>
      <c r="D50" s="12" t="n">
        <v>2004</v>
      </c>
      <c r="E50" s="18" t="n">
        <v>4.3</v>
      </c>
      <c r="F50" s="18" t="n">
        <v>88</v>
      </c>
      <c r="G50" s="12" t="n"/>
      <c r="H50" s="16">
        <f>ROUND((E50/5*100+F50)/2,0)</f>
        <v/>
      </c>
      <c r="I50" s="19" t="n">
        <v>74036382</v>
      </c>
      <c r="J50" s="12" t="inlineStr">
        <is>
          <t>n</t>
        </is>
      </c>
      <c r="K50" s="19" t="n">
        <v>20000000</v>
      </c>
      <c r="L50" s="12" t="inlineStr">
        <is>
          <t>n</t>
        </is>
      </c>
      <c r="M50" s="12" t="n">
        <v>108</v>
      </c>
      <c r="N50" s="12" t="n">
        <v>1</v>
      </c>
      <c r="O50" s="12" t="n">
        <v>1</v>
      </c>
    </row>
    <row r="51" ht="15.75" customHeight="1" s="11">
      <c r="A51" s="12" t="inlineStr">
        <is>
          <t>Whiplash</t>
        </is>
      </c>
      <c r="B51" s="12" t="inlineStr">
        <is>
          <t>card_050</t>
        </is>
      </c>
      <c r="C51" s="12" t="inlineStr">
        <is>
          <t>Damien Chazelle</t>
        </is>
      </c>
      <c r="D51" s="12" t="n">
        <v>2014</v>
      </c>
      <c r="E51" s="18" t="n">
        <v>4.3</v>
      </c>
      <c r="F51" s="18" t="n">
        <v>88</v>
      </c>
      <c r="G51" s="12" t="n"/>
      <c r="H51" s="16">
        <f>ROUND((E51/5*100+F51)/2,0)</f>
        <v/>
      </c>
      <c r="I51" s="19" t="n">
        <v>49000000</v>
      </c>
      <c r="J51" s="12" t="inlineStr">
        <is>
          <t>n</t>
        </is>
      </c>
      <c r="K51" s="19" t="n">
        <v>3300000</v>
      </c>
      <c r="L51" s="12" t="inlineStr">
        <is>
          <t>n</t>
        </is>
      </c>
      <c r="M51" s="12" t="n">
        <v>106</v>
      </c>
      <c r="N51" s="12" t="n">
        <v>3</v>
      </c>
      <c r="O51" s="12" t="n">
        <v>1</v>
      </c>
    </row>
    <row r="52" ht="15.75" customHeight="1" s="11">
      <c r="A52" s="12" t="inlineStr">
        <is>
          <t>Puss in Boots: The Last Wish</t>
        </is>
      </c>
      <c r="B52" s="12" t="inlineStr">
        <is>
          <t>card_051</t>
        </is>
      </c>
      <c r="C52" s="12" t="inlineStr">
        <is>
          <t>Joel Crawford</t>
        </is>
      </c>
      <c r="D52" s="12" t="n">
        <v>2022</v>
      </c>
      <c r="E52" s="18" t="n">
        <v>4.3</v>
      </c>
      <c r="F52" s="18" t="n">
        <v>88</v>
      </c>
      <c r="G52" s="12" t="n"/>
      <c r="H52" s="16">
        <f>ROUND((E52/5*100+F52)/2,0)</f>
        <v/>
      </c>
      <c r="I52" s="19" t="n">
        <v>486632357</v>
      </c>
      <c r="J52" s="12" t="inlineStr">
        <is>
          <t>n</t>
        </is>
      </c>
      <c r="K52" s="19" t="n">
        <v>90000000</v>
      </c>
      <c r="L52" s="12" t="inlineStr">
        <is>
          <t>y</t>
        </is>
      </c>
      <c r="M52" s="12" t="n">
        <v>102</v>
      </c>
      <c r="N52" s="12" t="n">
        <v>0</v>
      </c>
      <c r="O52" s="12" t="n">
        <v>0</v>
      </c>
    </row>
    <row r="53" ht="15.75" customHeight="1" s="11">
      <c r="A53" s="12" t="inlineStr">
        <is>
          <t>Ikiru</t>
        </is>
      </c>
      <c r="B53" s="12" t="inlineStr">
        <is>
          <t>card_052</t>
        </is>
      </c>
      <c r="C53" s="12" t="inlineStr">
        <is>
          <t>Akira Kurosawa</t>
        </is>
      </c>
      <c r="D53" s="12" t="n">
        <v>1952</v>
      </c>
      <c r="E53" s="18" t="n">
        <v>4.3</v>
      </c>
      <c r="F53" s="18" t="n">
        <v>88</v>
      </c>
      <c r="G53" s="12" t="n"/>
      <c r="H53" s="16">
        <f>ROUND((E53/5*100+F53)/2,0)</f>
        <v/>
      </c>
      <c r="I53" s="19" t="n">
        <v>1000000</v>
      </c>
      <c r="J53" s="12" t="inlineStr">
        <is>
          <t>y</t>
        </is>
      </c>
      <c r="K53" s="19" t="n">
        <v>85000</v>
      </c>
      <c r="L53" s="12" t="inlineStr">
        <is>
          <t>n</t>
        </is>
      </c>
      <c r="M53" s="12" t="n">
        <v>143</v>
      </c>
      <c r="N53" s="12" t="n">
        <v>0</v>
      </c>
      <c r="O53" s="12" t="n">
        <v>0</v>
      </c>
    </row>
    <row r="54" ht="15.75" customHeight="1" s="11">
      <c r="A54" s="12" t="inlineStr">
        <is>
          <t>There Will Be Blood</t>
        </is>
      </c>
      <c r="B54" s="12" t="inlineStr">
        <is>
          <t>card_053</t>
        </is>
      </c>
      <c r="C54" s="12" t="inlineStr">
        <is>
          <t>Paul Thomas Anderson</t>
        </is>
      </c>
      <c r="D54" s="12" t="n">
        <v>2007</v>
      </c>
      <c r="E54" s="18" t="n">
        <v>4.4</v>
      </c>
      <c r="F54" s="18" t="n">
        <v>88</v>
      </c>
      <c r="G54" s="12" t="n"/>
      <c r="H54" s="16">
        <f>ROUND((E54/5*100+F54)/2,0)</f>
        <v/>
      </c>
      <c r="I54" s="19" t="n">
        <v>76300000</v>
      </c>
      <c r="J54" s="12" t="inlineStr">
        <is>
          <t>n</t>
        </is>
      </c>
      <c r="K54" s="19" t="n">
        <v>25000000</v>
      </c>
      <c r="L54" s="12" t="inlineStr">
        <is>
          <t>n</t>
        </is>
      </c>
      <c r="M54" s="12" t="n">
        <v>158</v>
      </c>
      <c r="N54" s="12" t="n">
        <v>2</v>
      </c>
      <c r="O54" s="12" t="n">
        <v>0</v>
      </c>
    </row>
    <row r="55" ht="15.75" customHeight="1" s="11">
      <c r="A55" s="12" t="inlineStr">
        <is>
          <t>Raiders of the Lost Ark</t>
        </is>
      </c>
      <c r="B55" s="12" t="inlineStr">
        <is>
          <t>card_054</t>
        </is>
      </c>
      <c r="C55" s="12" t="inlineStr">
        <is>
          <t>Steven Spielberg</t>
        </is>
      </c>
      <c r="D55" s="12" t="n">
        <v>1981</v>
      </c>
      <c r="E55" s="18" t="n">
        <v>4.3</v>
      </c>
      <c r="F55" s="18" t="n">
        <v>88</v>
      </c>
      <c r="G55" s="12" t="n"/>
      <c r="H55" s="16">
        <f>ROUND((E55/5*100+F55)/2,0)</f>
        <v/>
      </c>
      <c r="I55" s="19" t="n">
        <v>389925971</v>
      </c>
      <c r="J55" s="12" t="inlineStr">
        <is>
          <t>n</t>
        </is>
      </c>
      <c r="K55" s="19" t="n">
        <v>18000000</v>
      </c>
      <c r="L55" s="12" t="inlineStr">
        <is>
          <t>n</t>
        </is>
      </c>
      <c r="M55" s="12" t="n">
        <v>115</v>
      </c>
      <c r="N55" s="12" t="n">
        <v>4</v>
      </c>
      <c r="O55" s="12" t="n">
        <v>2</v>
      </c>
    </row>
    <row r="56" ht="15.75" customHeight="1" s="11">
      <c r="A56" s="12" t="inlineStr">
        <is>
          <t>Central Station</t>
        </is>
      </c>
      <c r="B56" s="12" t="inlineStr">
        <is>
          <t>card_055</t>
        </is>
      </c>
      <c r="C56" s="12" t="inlineStr">
        <is>
          <t>Walter Salles</t>
        </is>
      </c>
      <c r="D56" s="12" t="n">
        <v>1998</v>
      </c>
      <c r="E56" s="18" t="n">
        <v>4.1</v>
      </c>
      <c r="F56" s="18" t="n">
        <v>88</v>
      </c>
      <c r="G56" s="12" t="n"/>
      <c r="H56" s="16">
        <f>ROUND((E56/5*100+F56)/2,0)</f>
        <v/>
      </c>
      <c r="I56" s="19" t="n">
        <v>22462500</v>
      </c>
      <c r="J56" s="12" t="inlineStr">
        <is>
          <t>n</t>
        </is>
      </c>
      <c r="K56" s="19" t="n">
        <v>4000000</v>
      </c>
      <c r="L56" s="12" t="inlineStr">
        <is>
          <t>y</t>
        </is>
      </c>
      <c r="M56" s="12" t="n">
        <v>110</v>
      </c>
      <c r="N56" s="12" t="n">
        <v>0</v>
      </c>
      <c r="O56" s="12" t="n">
        <v>0</v>
      </c>
    </row>
    <row r="57" ht="15.75" customHeight="1" s="11">
      <c r="A57" s="12" t="inlineStr">
        <is>
          <t>The Silence of the Lambs</t>
        </is>
      </c>
      <c r="B57" s="12" t="inlineStr">
        <is>
          <t>card_056</t>
        </is>
      </c>
      <c r="C57" s="12" t="inlineStr">
        <is>
          <t>Jonathan Demme</t>
        </is>
      </c>
      <c r="D57" s="12" t="n">
        <v>1991</v>
      </c>
      <c r="E57" s="18" t="n">
        <v>4.4</v>
      </c>
      <c r="F57" s="18" t="n">
        <v>88</v>
      </c>
      <c r="G57" s="12" t="n"/>
      <c r="H57" s="16">
        <f>ROUND((E57/5*100+F57)/2,0)</f>
        <v/>
      </c>
      <c r="I57" s="19" t="n">
        <v>272742922</v>
      </c>
      <c r="J57" s="12" t="inlineStr">
        <is>
          <t>n</t>
        </is>
      </c>
      <c r="K57" s="19" t="n">
        <v>19000000</v>
      </c>
      <c r="L57" s="12" t="inlineStr">
        <is>
          <t>n</t>
        </is>
      </c>
      <c r="M57" s="12" t="n">
        <v>118</v>
      </c>
      <c r="N57" s="12" t="n">
        <v>5</v>
      </c>
      <c r="O57" s="12" t="n">
        <v>1</v>
      </c>
    </row>
    <row r="58" ht="15.75" customHeight="1" s="11">
      <c r="A58" s="12" t="inlineStr">
        <is>
          <t>The Apartment</t>
        </is>
      </c>
      <c r="B58" s="12" t="inlineStr">
        <is>
          <t>card_057</t>
        </is>
      </c>
      <c r="C58" s="12" t="inlineStr">
        <is>
          <t>Billy Wilder</t>
        </is>
      </c>
      <c r="D58" s="12" t="n">
        <v>1960</v>
      </c>
      <c r="E58" s="18" t="n">
        <v>4.4</v>
      </c>
      <c r="F58" s="18" t="n">
        <v>87</v>
      </c>
      <c r="G58" s="12" t="n"/>
      <c r="H58" s="16">
        <f>ROUND((E58/5*100+F58)/2,0)</f>
        <v/>
      </c>
      <c r="I58" s="19" t="n">
        <v>24600000</v>
      </c>
      <c r="J58" s="12" t="inlineStr">
        <is>
          <t>y</t>
        </is>
      </c>
      <c r="K58" s="19" t="n">
        <v>3000000</v>
      </c>
      <c r="L58" s="12" t="inlineStr">
        <is>
          <t>n</t>
        </is>
      </c>
      <c r="M58" s="12" t="n">
        <v>125</v>
      </c>
      <c r="N58" s="12" t="n">
        <v>5</v>
      </c>
      <c r="O58" s="12" t="n">
        <v>6</v>
      </c>
    </row>
    <row r="59" ht="15.75" customHeight="1" s="11">
      <c r="A59" s="12" t="inlineStr">
        <is>
          <t>The Prestige</t>
        </is>
      </c>
      <c r="B59" s="12" t="inlineStr">
        <is>
          <t>card_058</t>
        </is>
      </c>
      <c r="C59" s="12" t="inlineStr">
        <is>
          <t>Christopher Nolan</t>
        </is>
      </c>
      <c r="D59" s="12" t="n">
        <v>2006</v>
      </c>
      <c r="E59" s="18" t="n">
        <v>4.3</v>
      </c>
      <c r="F59" s="18" t="n">
        <v>87</v>
      </c>
      <c r="G59" s="12" t="n"/>
      <c r="H59" s="16">
        <f>ROUND((E59/5*100+F59)/2,0)</f>
        <v/>
      </c>
      <c r="I59" s="19" t="n">
        <v>109676311</v>
      </c>
      <c r="J59" s="12" t="inlineStr">
        <is>
          <t>n</t>
        </is>
      </c>
      <c r="K59" s="19" t="n">
        <v>40000000</v>
      </c>
      <c r="L59" s="12" t="inlineStr">
        <is>
          <t>n</t>
        </is>
      </c>
      <c r="M59" s="12" t="n">
        <v>130</v>
      </c>
      <c r="N59" s="12" t="n">
        <v>0</v>
      </c>
      <c r="O59" s="12" t="n">
        <v>2</v>
      </c>
    </row>
    <row r="60" ht="15.75" customHeight="1" s="11">
      <c r="A60" s="12" t="inlineStr">
        <is>
          <t>American Beauty</t>
        </is>
      </c>
      <c r="B60" s="12" t="inlineStr">
        <is>
          <t>card_059</t>
        </is>
      </c>
      <c r="C60" s="12" t="inlineStr">
        <is>
          <t>Sam Mendes</t>
        </is>
      </c>
      <c r="D60" s="12" t="n">
        <v>1999</v>
      </c>
      <c r="E60" s="18" t="n">
        <v>4.3</v>
      </c>
      <c r="F60" s="18" t="n">
        <v>87</v>
      </c>
      <c r="G60" s="12" t="n"/>
      <c r="H60" s="16">
        <f>ROUND((E60/5*100+F60)/2,0)</f>
        <v/>
      </c>
      <c r="I60" s="19" t="n">
        <v>356296601</v>
      </c>
      <c r="J60" s="12" t="inlineStr">
        <is>
          <t>n</t>
        </is>
      </c>
      <c r="K60" s="19" t="n">
        <v>15000000</v>
      </c>
      <c r="L60" s="12" t="inlineStr">
        <is>
          <t>n</t>
        </is>
      </c>
      <c r="M60" s="12" t="n">
        <v>122</v>
      </c>
      <c r="N60" s="12" t="n">
        <v>5</v>
      </c>
      <c r="O60" s="12" t="n">
        <v>1</v>
      </c>
    </row>
    <row r="61" ht="15.75" customHeight="1" s="11">
      <c r="A61" s="12" t="inlineStr">
        <is>
          <t>The Iron Giant</t>
        </is>
      </c>
      <c r="B61" s="12" t="inlineStr">
        <is>
          <t>card_060</t>
        </is>
      </c>
      <c r="C61" s="12" t="inlineStr">
        <is>
          <t>Brad Bird</t>
        </is>
      </c>
      <c r="D61" s="12" t="n">
        <v>1999</v>
      </c>
      <c r="E61" s="18" t="n">
        <v>4.2</v>
      </c>
      <c r="F61" s="18" t="n">
        <v>87</v>
      </c>
      <c r="G61" s="12" t="n"/>
      <c r="H61" s="16">
        <f>ROUND((E61/5*100+F61)/2,0)</f>
        <v/>
      </c>
      <c r="I61" s="19" t="n">
        <v>31300000</v>
      </c>
      <c r="J61" s="12" t="inlineStr">
        <is>
          <t>n</t>
        </is>
      </c>
      <c r="K61" s="19" t="n">
        <v>70000000</v>
      </c>
      <c r="L61" s="12" t="inlineStr">
        <is>
          <t>n</t>
        </is>
      </c>
      <c r="M61" s="12" t="n">
        <v>86</v>
      </c>
      <c r="N61" s="12" t="n">
        <v>0</v>
      </c>
      <c r="O61" s="12" t="n">
        <v>2</v>
      </c>
    </row>
    <row r="62" ht="15.75" customHeight="1" s="11">
      <c r="A62" s="12" t="inlineStr">
        <is>
          <t>The Incredibles</t>
        </is>
      </c>
      <c r="B62" s="12" t="inlineStr">
        <is>
          <t>card_061</t>
        </is>
      </c>
      <c r="C62" s="12" t="inlineStr">
        <is>
          <t>Brad Bird</t>
        </is>
      </c>
      <c r="D62" s="12" t="n">
        <v>2004</v>
      </c>
      <c r="E62" s="18" t="n">
        <v>4.2</v>
      </c>
      <c r="F62" s="18" t="n">
        <v>87</v>
      </c>
      <c r="G62" s="12" t="n"/>
      <c r="H62" s="16">
        <f>ROUND((E62/5*100+F62)/2,0)</f>
        <v/>
      </c>
      <c r="I62" s="19" t="n">
        <v>633000000</v>
      </c>
      <c r="J62" s="12" t="inlineStr">
        <is>
          <t>n</t>
        </is>
      </c>
      <c r="K62" s="19" t="n">
        <v>92000000</v>
      </c>
      <c r="L62" s="12" t="inlineStr">
        <is>
          <t>n</t>
        </is>
      </c>
      <c r="M62" s="12" t="n">
        <v>115</v>
      </c>
      <c r="N62" s="12" t="n">
        <v>2</v>
      </c>
      <c r="O62" s="12" t="n">
        <v>2</v>
      </c>
    </row>
    <row r="63" ht="15.75" customHeight="1" s="11">
      <c r="A63" s="12" t="inlineStr">
        <is>
          <t>Stop Making Sense</t>
        </is>
      </c>
      <c r="B63" s="12" t="inlineStr">
        <is>
          <t>card_062</t>
        </is>
      </c>
      <c r="C63" s="12" t="inlineStr">
        <is>
          <t>Jonathan Demme</t>
        </is>
      </c>
      <c r="D63" s="12" t="n">
        <v>1984</v>
      </c>
      <c r="E63" s="18" t="n">
        <v>4.4</v>
      </c>
      <c r="F63" s="18" t="n">
        <v>87</v>
      </c>
      <c r="G63" s="12" t="n"/>
      <c r="H63" s="16">
        <f>ROUND((E63/5*100+F63)/2,0)</f>
        <v/>
      </c>
      <c r="I63" s="19" t="n">
        <v>5000000</v>
      </c>
      <c r="J63" s="12" t="inlineStr">
        <is>
          <t>y</t>
        </is>
      </c>
      <c r="K63" s="19" t="n">
        <v>1200000</v>
      </c>
      <c r="L63" s="12" t="inlineStr">
        <is>
          <t>n</t>
        </is>
      </c>
      <c r="M63" s="12" t="n">
        <v>88</v>
      </c>
      <c r="N63" s="12" t="n">
        <v>0</v>
      </c>
      <c r="O63" s="12" t="n">
        <v>1</v>
      </c>
    </row>
    <row r="64" ht="15.75" customHeight="1" s="11">
      <c r="A64" s="12" t="inlineStr">
        <is>
          <t>Scarface</t>
        </is>
      </c>
      <c r="B64" s="12" t="inlineStr">
        <is>
          <t>card_063</t>
        </is>
      </c>
      <c r="C64" s="12" t="inlineStr">
        <is>
          <t>Brian De Palma</t>
        </is>
      </c>
      <c r="D64" s="12" t="n">
        <v>1983</v>
      </c>
      <c r="E64" s="18" t="n">
        <v>4</v>
      </c>
      <c r="F64" s="18" t="n">
        <v>87</v>
      </c>
      <c r="G64" s="12" t="n"/>
      <c r="H64" s="16">
        <f>ROUND((E64/5*100+F64)/2,0)</f>
        <v/>
      </c>
      <c r="I64" s="19" t="n">
        <v>65900000</v>
      </c>
      <c r="J64" s="12" t="inlineStr">
        <is>
          <t>n</t>
        </is>
      </c>
      <c r="K64" s="19" t="n">
        <v>25000000</v>
      </c>
      <c r="L64" s="12" t="inlineStr">
        <is>
          <t>n</t>
        </is>
      </c>
      <c r="M64" s="12" t="n">
        <v>170</v>
      </c>
      <c r="N64" s="12" t="n">
        <v>0</v>
      </c>
      <c r="O64" s="12" t="n">
        <v>0</v>
      </c>
    </row>
    <row r="65" ht="15.75" customHeight="1" s="11">
      <c r="A65" s="12" t="inlineStr">
        <is>
          <t>Avengers: Infinity War</t>
        </is>
      </c>
      <c r="B65" s="12" t="inlineStr">
        <is>
          <t>card_064</t>
        </is>
      </c>
      <c r="C65" s="12" t="inlineStr">
        <is>
          <t>Anthony Russo and Joe Russo</t>
        </is>
      </c>
      <c r="D65" s="12" t="n">
        <v>2018</v>
      </c>
      <c r="E65" s="18" t="n">
        <v>4.2</v>
      </c>
      <c r="F65" s="18" t="n">
        <v>87</v>
      </c>
      <c r="G65" s="12" t="n"/>
      <c r="H65" s="16">
        <f>ROUND((E65/5*100+F65)/2,0)</f>
        <v/>
      </c>
      <c r="I65" s="19" t="n">
        <v>2048359754</v>
      </c>
      <c r="J65" s="12" t="inlineStr">
        <is>
          <t>n</t>
        </is>
      </c>
      <c r="K65" s="19" t="n">
        <v>300000000</v>
      </c>
      <c r="L65" s="12" t="inlineStr">
        <is>
          <t>y</t>
        </is>
      </c>
      <c r="M65" s="12" t="n">
        <v>149</v>
      </c>
      <c r="N65" s="12" t="n">
        <v>0</v>
      </c>
      <c r="O65" s="12" t="n">
        <v>0</v>
      </c>
    </row>
    <row r="66" ht="15.75" customHeight="1" s="11">
      <c r="A66" s="12" t="inlineStr">
        <is>
          <t>Singin' in the Rain</t>
        </is>
      </c>
      <c r="B66" s="12" t="inlineStr">
        <is>
          <t>card_065</t>
        </is>
      </c>
      <c r="C66" s="12" t="inlineStr">
        <is>
          <t>Gene Kelly and Stanley Donen</t>
        </is>
      </c>
      <c r="D66" s="12" t="n">
        <v>1952</v>
      </c>
      <c r="E66" s="18" t="n">
        <v>4.4</v>
      </c>
      <c r="F66" s="18" t="n">
        <v>87</v>
      </c>
      <c r="G66" s="12" t="n"/>
      <c r="H66" s="16">
        <f>ROUND((E66/5*100+F66)/2,0)</f>
        <v/>
      </c>
      <c r="I66" s="19" t="n">
        <v>7900000</v>
      </c>
      <c r="J66" s="12" t="inlineStr">
        <is>
          <t>y</t>
        </is>
      </c>
      <c r="K66" s="19" t="n">
        <v>2500000</v>
      </c>
      <c r="L66" s="12" t="inlineStr">
        <is>
          <t>n</t>
        </is>
      </c>
      <c r="M66" s="12" t="n">
        <v>103</v>
      </c>
      <c r="N66" s="12" t="n">
        <v>0</v>
      </c>
      <c r="O66" s="12" t="n">
        <v>0</v>
      </c>
    </row>
    <row r="67" ht="15.75" customHeight="1" s="11">
      <c r="A67" s="12" t="inlineStr">
        <is>
          <t>Interstellar</t>
        </is>
      </c>
      <c r="B67" s="12" t="inlineStr">
        <is>
          <t>card_066</t>
        </is>
      </c>
      <c r="C67" s="12" t="inlineStr">
        <is>
          <t>Christopher Nolan</t>
        </is>
      </c>
      <c r="D67" s="12" t="n">
        <v>2014</v>
      </c>
      <c r="E67" s="18" t="n">
        <v>4.4</v>
      </c>
      <c r="F67" s="18" t="n">
        <v>87</v>
      </c>
      <c r="G67" s="12" t="n"/>
      <c r="H67" s="16">
        <f>ROUND((E67/5*100+F67)/2,0)</f>
        <v/>
      </c>
      <c r="I67" s="19" t="n">
        <v>701729206</v>
      </c>
      <c r="J67" s="12" t="inlineStr">
        <is>
          <t>n</t>
        </is>
      </c>
      <c r="K67" s="19" t="n">
        <v>165000000</v>
      </c>
      <c r="L67" s="12" t="inlineStr">
        <is>
          <t>n</t>
        </is>
      </c>
      <c r="M67" s="12" t="n">
        <v>169</v>
      </c>
      <c r="N67" s="12" t="n">
        <v>1</v>
      </c>
      <c r="O67" s="12" t="n">
        <v>2</v>
      </c>
    </row>
    <row r="68" ht="15.75" customHeight="1" s="11">
      <c r="A68" s="12" t="inlineStr">
        <is>
          <t>Casablanca</t>
        </is>
      </c>
      <c r="B68" s="12" t="inlineStr">
        <is>
          <t>card_067</t>
        </is>
      </c>
      <c r="C68" s="12" t="inlineStr">
        <is>
          <t>Michael Curtiz</t>
        </is>
      </c>
      <c r="D68" s="12" t="n">
        <v>1943</v>
      </c>
      <c r="E68" s="18" t="n">
        <v>4.3</v>
      </c>
      <c r="F68" s="18" t="n">
        <v>87</v>
      </c>
      <c r="G68" s="12" t="n"/>
      <c r="H68" s="16">
        <f>ROUND((E68/5*100+F68)/2,0)</f>
        <v/>
      </c>
      <c r="I68" s="19" t="n">
        <v>3700000</v>
      </c>
      <c r="J68" s="12" t="inlineStr">
        <is>
          <t>n</t>
        </is>
      </c>
      <c r="K68" s="19" t="n">
        <v>1039000</v>
      </c>
      <c r="L68" s="12" t="inlineStr">
        <is>
          <t>n</t>
        </is>
      </c>
      <c r="M68" s="12" t="n">
        <v>102</v>
      </c>
      <c r="N68" s="12" t="n">
        <v>3</v>
      </c>
      <c r="O68" s="12" t="n">
        <v>1</v>
      </c>
    </row>
    <row r="69" ht="15.75" customHeight="1" s="11">
      <c r="A69" s="12" t="inlineStr">
        <is>
          <t>Gladiator</t>
        </is>
      </c>
      <c r="B69" s="12" t="inlineStr">
        <is>
          <t>card_068</t>
        </is>
      </c>
      <c r="C69" s="12" t="inlineStr">
        <is>
          <t>Ridley Scott</t>
        </is>
      </c>
      <c r="D69" s="12" t="n">
        <v>2000</v>
      </c>
      <c r="E69" s="18" t="n">
        <v>4.2</v>
      </c>
      <c r="F69" s="18" t="n">
        <v>87</v>
      </c>
      <c r="G69" s="12" t="n"/>
      <c r="H69" s="16">
        <f>ROUND((E69/5*100+F69)/2,0)</f>
        <v/>
      </c>
      <c r="I69" s="19" t="n">
        <v>460583960</v>
      </c>
      <c r="J69" s="12" t="inlineStr">
        <is>
          <t>n</t>
        </is>
      </c>
      <c r="K69" s="19" t="n">
        <v>103000000</v>
      </c>
      <c r="L69" s="12" t="inlineStr">
        <is>
          <t>n</t>
        </is>
      </c>
      <c r="M69" s="12" t="n">
        <v>155</v>
      </c>
      <c r="N69" s="12" t="n">
        <v>5</v>
      </c>
      <c r="O69" s="12" t="n">
        <v>0</v>
      </c>
    </row>
    <row r="70" ht="15.75" customHeight="1" s="11">
      <c r="A70" s="12" t="inlineStr">
        <is>
          <t>The Green Mile</t>
        </is>
      </c>
      <c r="B70" s="12" t="inlineStr">
        <is>
          <t>card_069</t>
        </is>
      </c>
      <c r="C70" s="12" t="inlineStr">
        <is>
          <t>Frank Darabont</t>
        </is>
      </c>
      <c r="D70" s="12" t="n">
        <v>1999</v>
      </c>
      <c r="E70" s="18" t="n">
        <v>4.3</v>
      </c>
      <c r="F70" s="18" t="n">
        <v>87</v>
      </c>
      <c r="G70" s="12" t="n"/>
      <c r="H70" s="16">
        <f>ROUND((E70/5*100+F70)/2,0)</f>
        <v/>
      </c>
      <c r="I70" s="19" t="n">
        <v>286801374</v>
      </c>
      <c r="J70" s="12" t="inlineStr">
        <is>
          <t>n</t>
        </is>
      </c>
      <c r="K70" s="19" t="n">
        <v>60000000</v>
      </c>
      <c r="L70" s="12" t="inlineStr">
        <is>
          <t>n</t>
        </is>
      </c>
      <c r="M70" s="12" t="n">
        <v>189</v>
      </c>
      <c r="N70" s="12" t="n">
        <v>0</v>
      </c>
      <c r="O70" s="12" t="n">
        <v>0</v>
      </c>
    </row>
    <row r="71" ht="15.75" customHeight="1" s="11">
      <c r="A71" s="12" t="inlineStr">
        <is>
          <t>Modern Times</t>
        </is>
      </c>
      <c r="B71" s="12" t="inlineStr">
        <is>
          <t>card_070</t>
        </is>
      </c>
      <c r="C71" s="12" t="inlineStr">
        <is>
          <t>Charlie Chaplin</t>
        </is>
      </c>
      <c r="D71" s="12" t="n">
        <v>1936</v>
      </c>
      <c r="E71" s="18" t="n">
        <v>4.4</v>
      </c>
      <c r="F71" s="18" t="n">
        <v>87</v>
      </c>
      <c r="G71" s="12" t="n"/>
      <c r="H71" s="16">
        <f>ROUND((E71/5*100+F71)/2,0)</f>
        <v/>
      </c>
      <c r="I71" s="19" t="n">
        <v>8500000</v>
      </c>
      <c r="J71" s="12" t="inlineStr">
        <is>
          <t>y</t>
        </is>
      </c>
      <c r="K71" s="19" t="n">
        <v>1500000</v>
      </c>
      <c r="L71" s="12" t="inlineStr">
        <is>
          <t>y</t>
        </is>
      </c>
      <c r="M71" s="12" t="n">
        <v>87</v>
      </c>
      <c r="N71" s="12" t="n">
        <v>0</v>
      </c>
      <c r="O71" s="12" t="n">
        <v>1</v>
      </c>
    </row>
    <row r="72" ht="15.75" customHeight="1" s="11">
      <c r="A72" s="12" t="inlineStr">
        <is>
          <t>2001: A Space Odyssey</t>
        </is>
      </c>
      <c r="B72" s="12" t="inlineStr">
        <is>
          <t>card_071</t>
        </is>
      </c>
      <c r="C72" s="12" t="inlineStr">
        <is>
          <t>Stanley Kubrick</t>
        </is>
      </c>
      <c r="D72" s="12" t="n">
        <v>1968</v>
      </c>
      <c r="E72" s="18" t="n">
        <v>4.3</v>
      </c>
      <c r="F72" s="18" t="n">
        <v>87</v>
      </c>
      <c r="G72" s="12" t="n"/>
      <c r="H72" s="16">
        <f>ROUND((E72/5*100+F72)/2,0)</f>
        <v/>
      </c>
      <c r="I72" s="19" t="n">
        <v>148500000</v>
      </c>
      <c r="J72" s="12" t="inlineStr">
        <is>
          <t>n</t>
        </is>
      </c>
      <c r="K72" s="19" t="n">
        <v>10500000</v>
      </c>
      <c r="L72" s="12" t="inlineStr">
        <is>
          <t>n</t>
        </is>
      </c>
      <c r="M72" s="12" t="n">
        <v>149</v>
      </c>
      <c r="N72" s="12" t="n">
        <v>1</v>
      </c>
      <c r="O72" s="12" t="n">
        <v>1</v>
      </c>
    </row>
    <row r="73" ht="15.75" customHeight="1" s="11">
      <c r="A73" s="12" t="inlineStr">
        <is>
          <t>Spider-Man 2</t>
        </is>
      </c>
      <c r="B73" s="12" t="inlineStr">
        <is>
          <t>card_072</t>
        </is>
      </c>
      <c r="C73" s="12" t="inlineStr">
        <is>
          <t>Sam Raimi</t>
        </is>
      </c>
      <c r="D73" s="12" t="n">
        <v>2004</v>
      </c>
      <c r="E73" s="18" t="n">
        <v>4</v>
      </c>
      <c r="F73" s="18" t="n">
        <v>87</v>
      </c>
      <c r="G73" s="12" t="n"/>
      <c r="H73" s="16">
        <f>ROUND((E73/5*100+F73)/2,0)</f>
        <v/>
      </c>
      <c r="I73" s="19" t="n">
        <v>783766341</v>
      </c>
      <c r="J73" s="12" t="inlineStr">
        <is>
          <t>n</t>
        </is>
      </c>
      <c r="K73" s="19" t="n">
        <v>200000000</v>
      </c>
      <c r="L73" s="12" t="inlineStr">
        <is>
          <t>n</t>
        </is>
      </c>
      <c r="M73" s="12" t="n">
        <v>127</v>
      </c>
      <c r="N73" s="12" t="n">
        <v>1</v>
      </c>
      <c r="O73" s="12" t="n">
        <v>0</v>
      </c>
    </row>
    <row r="74" ht="15.75" customHeight="1" s="11">
      <c r="A74" s="12" t="inlineStr">
        <is>
          <t>Chinatown</t>
        </is>
      </c>
      <c r="B74" s="12" t="inlineStr">
        <is>
          <t>card_073</t>
        </is>
      </c>
      <c r="C74" s="12" t="inlineStr">
        <is>
          <t>Roman Polanski</t>
        </is>
      </c>
      <c r="D74" s="12" t="n">
        <v>1974</v>
      </c>
      <c r="E74" s="18" t="n">
        <v>4.3</v>
      </c>
      <c r="F74" s="18" t="n">
        <v>87</v>
      </c>
      <c r="G74" s="12" t="n"/>
      <c r="H74" s="16">
        <f>ROUND((E74/5*100+F74)/2,0)</f>
        <v/>
      </c>
      <c r="I74" s="19" t="n">
        <v>29200000</v>
      </c>
      <c r="J74" s="12" t="inlineStr">
        <is>
          <t>n</t>
        </is>
      </c>
      <c r="K74" s="19" t="n">
        <v>6000000</v>
      </c>
      <c r="L74" s="12" t="inlineStr">
        <is>
          <t>n</t>
        </is>
      </c>
      <c r="M74" s="12" t="n">
        <v>130</v>
      </c>
      <c r="N74" s="12" t="n">
        <v>1</v>
      </c>
      <c r="O74" s="12" t="n">
        <v>1</v>
      </c>
    </row>
    <row r="75" ht="15.75" customHeight="1" s="11">
      <c r="A75" s="12" t="inlineStr">
        <is>
          <t>Rocky</t>
        </is>
      </c>
      <c r="B75" s="12" t="inlineStr">
        <is>
          <t>card_074</t>
        </is>
      </c>
      <c r="C75" s="12" t="inlineStr">
        <is>
          <t>John G. Avildsen</t>
        </is>
      </c>
      <c r="D75" s="12" t="n">
        <v>1976</v>
      </c>
      <c r="E75" s="18" t="n">
        <v>4</v>
      </c>
      <c r="F75" s="18" t="n">
        <v>87</v>
      </c>
      <c r="G75" s="12" t="n"/>
      <c r="H75" s="16">
        <f>ROUND((E75/5*100+F75)/2,0)</f>
        <v/>
      </c>
      <c r="I75" s="19" t="n">
        <v>225000000</v>
      </c>
      <c r="J75" s="12" t="inlineStr">
        <is>
          <t>n</t>
        </is>
      </c>
      <c r="K75" s="19" t="n">
        <v>1000000</v>
      </c>
      <c r="L75" s="12" t="inlineStr">
        <is>
          <t>n</t>
        </is>
      </c>
      <c r="M75" s="12" t="n">
        <v>120</v>
      </c>
      <c r="N75" s="12" t="n">
        <v>3</v>
      </c>
      <c r="O75" s="12" t="n">
        <v>1</v>
      </c>
    </row>
    <row r="76" ht="15.75" customHeight="1" s="11">
      <c r="A76" s="12" t="inlineStr">
        <is>
          <t>Amadeus</t>
        </is>
      </c>
      <c r="B76" s="12" t="inlineStr">
        <is>
          <t>card_075</t>
        </is>
      </c>
      <c r="C76" s="12" t="inlineStr">
        <is>
          <t>Milos Forman</t>
        </is>
      </c>
      <c r="D76" s="12" t="n">
        <v>1984</v>
      </c>
      <c r="E76" s="18" t="n">
        <v>4.3</v>
      </c>
      <c r="F76" s="18" t="n">
        <v>87</v>
      </c>
      <c r="G76" s="12" t="n"/>
      <c r="H76" s="16">
        <f>ROUND((E76/5*100+F76)/2,0)</f>
        <v/>
      </c>
      <c r="I76" s="19" t="n">
        <v>90000000</v>
      </c>
      <c r="J76" s="12" t="inlineStr">
        <is>
          <t>y</t>
        </is>
      </c>
      <c r="K76" s="19" t="n">
        <v>18000000</v>
      </c>
      <c r="L76" s="12" t="inlineStr">
        <is>
          <t>n</t>
        </is>
      </c>
      <c r="M76" s="12" t="n">
        <v>160</v>
      </c>
      <c r="N76" s="12" t="n">
        <v>8</v>
      </c>
      <c r="O76" s="12" t="n">
        <v>2</v>
      </c>
    </row>
    <row r="77" ht="15.75" customHeight="1" s="11">
      <c r="A77" s="12" t="inlineStr">
        <is>
          <t>Once Upon a Time in the West</t>
        </is>
      </c>
      <c r="B77" s="12" t="inlineStr">
        <is>
          <t>card_076</t>
        </is>
      </c>
      <c r="C77" s="12" t="inlineStr">
        <is>
          <t>Sergio Leone</t>
        </is>
      </c>
      <c r="D77" s="12" t="n">
        <v>1968</v>
      </c>
      <c r="E77" s="18" t="n">
        <v>4.4</v>
      </c>
      <c r="F77" s="18" t="n">
        <v>87</v>
      </c>
      <c r="G77" s="12" t="n"/>
      <c r="H77" s="16">
        <f>ROUND((E77/5*100+F77)/2,0)</f>
        <v/>
      </c>
      <c r="I77" s="19" t="n">
        <v>30000000</v>
      </c>
      <c r="J77" s="12" t="inlineStr">
        <is>
          <t>y</t>
        </is>
      </c>
      <c r="K77" s="19" t="n">
        <v>5000000</v>
      </c>
      <c r="L77" s="12" t="inlineStr">
        <is>
          <t>y</t>
        </is>
      </c>
      <c r="M77" s="12" t="n">
        <v>165</v>
      </c>
      <c r="N77" s="12" t="n">
        <v>0</v>
      </c>
      <c r="O77" s="12" t="n">
        <v>0</v>
      </c>
    </row>
    <row r="78" ht="15.75" customHeight="1" s="11">
      <c r="A78" s="12" t="inlineStr">
        <is>
          <t>Before Sunset</t>
        </is>
      </c>
      <c r="B78" s="12" t="inlineStr">
        <is>
          <t>card_077</t>
        </is>
      </c>
      <c r="C78" s="12" t="inlineStr">
        <is>
          <t>Richard Linklater</t>
        </is>
      </c>
      <c r="D78" s="12" t="n">
        <v>2004</v>
      </c>
      <c r="E78" s="18" t="n">
        <v>4.3</v>
      </c>
      <c r="F78" s="18" t="n">
        <v>87</v>
      </c>
      <c r="G78" s="12" t="n"/>
      <c r="H78" s="16">
        <f>ROUND((E78/5*100+F78)/2,0)</f>
        <v/>
      </c>
      <c r="I78" s="19" t="n">
        <v>15900000</v>
      </c>
      <c r="J78" s="12" t="inlineStr">
        <is>
          <t>n</t>
        </is>
      </c>
      <c r="K78" s="19" t="n">
        <v>2700000</v>
      </c>
      <c r="L78" s="12" t="inlineStr">
        <is>
          <t>y</t>
        </is>
      </c>
      <c r="M78" s="12" t="n">
        <v>80</v>
      </c>
      <c r="N78" s="12" t="n">
        <v>0</v>
      </c>
      <c r="O78" s="12" t="n">
        <v>0</v>
      </c>
    </row>
    <row r="79" ht="15.75" customHeight="1" s="11">
      <c r="A79" s="12" t="inlineStr">
        <is>
          <t>The Truman Show</t>
        </is>
      </c>
      <c r="B79" s="12" t="inlineStr">
        <is>
          <t>card_078</t>
        </is>
      </c>
      <c r="C79" s="12" t="inlineStr">
        <is>
          <t>Peter Weir</t>
        </is>
      </c>
      <c r="D79" s="12" t="n">
        <v>1998</v>
      </c>
      <c r="E79" s="18" t="n">
        <v>4.2</v>
      </c>
      <c r="F79" s="18" t="n">
        <v>87</v>
      </c>
      <c r="G79" s="12" t="n"/>
      <c r="H79" s="16">
        <f>ROUND((E79/5*100+F79)/2,0)</f>
        <v/>
      </c>
      <c r="I79" s="19" t="n">
        <v>264118201</v>
      </c>
      <c r="J79" s="12" t="inlineStr">
        <is>
          <t>n</t>
        </is>
      </c>
      <c r="K79" s="19" t="n">
        <v>60000000</v>
      </c>
      <c r="L79" s="12" t="inlineStr">
        <is>
          <t>n</t>
        </is>
      </c>
      <c r="M79" s="12" t="n">
        <v>103</v>
      </c>
      <c r="N79" s="12" t="n">
        <v>0</v>
      </c>
      <c r="O79" s="12" t="n">
        <v>0</v>
      </c>
    </row>
    <row r="80" ht="15.75" customHeight="1" s="11">
      <c r="A80" s="12" t="inlineStr">
        <is>
          <t>Before Sunrise</t>
        </is>
      </c>
      <c r="B80" s="12" t="inlineStr">
        <is>
          <t>card_079</t>
        </is>
      </c>
      <c r="C80" s="12" t="inlineStr">
        <is>
          <t>Richard Linklater</t>
        </is>
      </c>
      <c r="D80" s="12" t="n">
        <v>1995</v>
      </c>
      <c r="E80" s="18" t="n">
        <v>4.1</v>
      </c>
      <c r="F80" s="18" t="n">
        <v>87</v>
      </c>
      <c r="G80" s="12" t="n"/>
      <c r="H80" s="16">
        <f>ROUND((E80/5*100+F80)/2,0)</f>
        <v/>
      </c>
      <c r="I80" s="19" t="n">
        <v>5500000</v>
      </c>
      <c r="J80" s="12" t="inlineStr">
        <is>
          <t>y</t>
        </is>
      </c>
      <c r="K80" s="19" t="n">
        <v>2500000</v>
      </c>
      <c r="L80" s="12" t="inlineStr">
        <is>
          <t>y</t>
        </is>
      </c>
      <c r="M80" s="12" t="n">
        <v>101</v>
      </c>
      <c r="N80" s="12" t="n">
        <v>0</v>
      </c>
      <c r="O80" s="12" t="n">
        <v>0</v>
      </c>
    </row>
    <row r="81" ht="15.75" customHeight="1" s="11">
      <c r="A81" s="12" t="inlineStr">
        <is>
          <t>Apocalypse Now</t>
        </is>
      </c>
      <c r="B81" s="12" t="inlineStr">
        <is>
          <t>card_080</t>
        </is>
      </c>
      <c r="C81" s="12" t="inlineStr">
        <is>
          <t>Francis Ford Coppola</t>
        </is>
      </c>
      <c r="D81" s="12" t="n">
        <v>1979</v>
      </c>
      <c r="E81" s="18" t="n">
        <v>4.3</v>
      </c>
      <c r="F81" s="18" t="n">
        <v>86</v>
      </c>
      <c r="G81" s="12" t="n"/>
      <c r="H81" s="16">
        <f>ROUND((E81/5*100+F81)/2,0)</f>
        <v/>
      </c>
      <c r="I81" s="19" t="n">
        <v>150000000</v>
      </c>
      <c r="J81" s="12" t="inlineStr">
        <is>
          <t>y</t>
        </is>
      </c>
      <c r="K81" s="19" t="n">
        <v>31500000</v>
      </c>
      <c r="L81" s="12" t="inlineStr">
        <is>
          <t>n</t>
        </is>
      </c>
      <c r="M81" s="12" t="n">
        <v>147</v>
      </c>
      <c r="N81" s="12" t="n">
        <v>2</v>
      </c>
      <c r="O81" s="12" t="n">
        <v>4</v>
      </c>
    </row>
    <row r="82" ht="15.75" customHeight="1" s="11">
      <c r="A82" s="12" t="inlineStr">
        <is>
          <t>Seven</t>
        </is>
      </c>
      <c r="B82" s="12" t="inlineStr">
        <is>
          <t>card_081</t>
        </is>
      </c>
      <c r="C82" s="12" t="inlineStr">
        <is>
          <t>David Fincher</t>
        </is>
      </c>
      <c r="D82" s="12" t="n">
        <v>1995</v>
      </c>
      <c r="E82" s="18" t="n">
        <v>4.2</v>
      </c>
      <c r="F82" s="18" t="n">
        <v>86</v>
      </c>
      <c r="G82" s="12" t="n"/>
      <c r="H82" s="16">
        <f>ROUND((E82/5*100+F82)/2,0)</f>
        <v/>
      </c>
      <c r="I82" s="19" t="n">
        <v>327311859</v>
      </c>
      <c r="J82" s="12" t="inlineStr">
        <is>
          <t>n</t>
        </is>
      </c>
      <c r="K82" s="19" t="n">
        <v>33000000</v>
      </c>
      <c r="L82" s="12" t="inlineStr">
        <is>
          <t>n</t>
        </is>
      </c>
      <c r="M82" s="12" t="n">
        <v>127</v>
      </c>
      <c r="N82" s="12" t="n">
        <v>0</v>
      </c>
      <c r="O82" s="12" t="n">
        <v>0</v>
      </c>
    </row>
    <row r="83" ht="15.75" customHeight="1" s="11">
      <c r="A83" s="12" t="inlineStr">
        <is>
          <t>Aquarius</t>
        </is>
      </c>
      <c r="B83" s="12" t="inlineStr">
        <is>
          <t>card_082</t>
        </is>
      </c>
      <c r="C83" s="12" t="inlineStr">
        <is>
          <t>Kleber Mendonça Filho</t>
        </is>
      </c>
      <c r="D83" s="12" t="n">
        <v>2016</v>
      </c>
      <c r="E83" s="18" t="n">
        <v>3.9</v>
      </c>
      <c r="F83" s="18" t="n">
        <v>86</v>
      </c>
      <c r="G83" s="12" t="n"/>
      <c r="H83" s="16">
        <f>ROUND((E83/5*100+F83)/2,0)</f>
        <v/>
      </c>
      <c r="I83" s="19" t="n">
        <v>1500000</v>
      </c>
      <c r="J83" s="12" t="inlineStr">
        <is>
          <t>y</t>
        </is>
      </c>
      <c r="K83" s="19" t="n">
        <v>3000000</v>
      </c>
      <c r="L83" s="12" t="inlineStr">
        <is>
          <t>y</t>
        </is>
      </c>
      <c r="M83" s="12" t="n">
        <v>146</v>
      </c>
      <c r="N83" s="12" t="n">
        <v>0</v>
      </c>
      <c r="O83" s="12" t="n">
        <v>0</v>
      </c>
    </row>
    <row r="84" ht="15.75" customHeight="1" s="11">
      <c r="A84" s="12" t="inlineStr">
        <is>
          <t>Wild Rose</t>
        </is>
      </c>
      <c r="B84" s="12" t="inlineStr">
        <is>
          <t>card_083</t>
        </is>
      </c>
      <c r="C84" s="12" t="inlineStr">
        <is>
          <t>Tom Harper</t>
        </is>
      </c>
      <c r="D84" s="12" t="n">
        <v>2019</v>
      </c>
      <c r="E84" s="18" t="n">
        <v>3.7</v>
      </c>
      <c r="F84" s="18" t="n">
        <v>86</v>
      </c>
      <c r="G84" s="12" t="n"/>
      <c r="H84" s="16">
        <f>ROUND((E84/5*100+F84)/2,0)</f>
        <v/>
      </c>
      <c r="I84" s="19" t="n">
        <v>5600000</v>
      </c>
      <c r="J84" s="12" t="inlineStr">
        <is>
          <t>y</t>
        </is>
      </c>
      <c r="K84" s="19" t="n">
        <v>5000000</v>
      </c>
      <c r="L84" s="12" t="inlineStr">
        <is>
          <t>y</t>
        </is>
      </c>
      <c r="M84" s="12" t="n">
        <v>100</v>
      </c>
      <c r="N84" s="12" t="n">
        <v>0</v>
      </c>
      <c r="O84" s="12" t="n">
        <v>0</v>
      </c>
    </row>
    <row r="85" ht="15.75" customHeight="1" s="11">
      <c r="A85" s="12" t="inlineStr">
        <is>
          <t>They Shall Not Grow Old</t>
        </is>
      </c>
      <c r="B85" s="12" t="inlineStr">
        <is>
          <t>card_084</t>
        </is>
      </c>
      <c r="C85" s="12" t="inlineStr">
        <is>
          <t>Peter Jackson</t>
        </is>
      </c>
      <c r="D85" s="12" t="n">
        <v>2018</v>
      </c>
      <c r="E85" s="18" t="n">
        <v>4.2</v>
      </c>
      <c r="F85" s="18" t="n">
        <v>86</v>
      </c>
      <c r="G85" s="12" t="n"/>
      <c r="H85" s="16">
        <f>ROUND((E85/5*100+F85)/2,0)</f>
        <v/>
      </c>
      <c r="I85" s="19" t="n">
        <v>21600000</v>
      </c>
      <c r="J85" s="12" t="inlineStr">
        <is>
          <t>n</t>
        </is>
      </c>
      <c r="K85" s="19" t="n">
        <v>8000000</v>
      </c>
      <c r="L85" s="12" t="inlineStr">
        <is>
          <t>y</t>
        </is>
      </c>
      <c r="M85" s="12" t="n">
        <v>99</v>
      </c>
      <c r="N85" s="12" t="n">
        <v>0</v>
      </c>
      <c r="O85" s="12" t="n">
        <v>3</v>
      </c>
    </row>
    <row r="86" ht="15.75" customHeight="1" s="11">
      <c r="A86" s="12" t="inlineStr">
        <is>
          <t>Monty Python and the Holy Grail</t>
        </is>
      </c>
      <c r="B86" s="12" t="inlineStr">
        <is>
          <t>card_085</t>
        </is>
      </c>
      <c r="C86" s="12" t="inlineStr">
        <is>
          <t>Terry Gilliam, Terry Jones</t>
        </is>
      </c>
      <c r="D86" s="12" t="n">
        <v>1975</v>
      </c>
      <c r="E86" s="18" t="n">
        <v>4.2</v>
      </c>
      <c r="F86" s="18" t="n">
        <v>86</v>
      </c>
      <c r="G86" s="12" t="n"/>
      <c r="H86" s="16">
        <f>ROUND((E86/5*100+F86)/2,0)</f>
        <v/>
      </c>
      <c r="I86" s="19" t="n">
        <v>6000000</v>
      </c>
      <c r="J86" s="12" t="inlineStr">
        <is>
          <t>y</t>
        </is>
      </c>
      <c r="K86" s="19" t="n">
        <v>400000</v>
      </c>
      <c r="L86" s="12" t="inlineStr">
        <is>
          <t>y</t>
        </is>
      </c>
      <c r="M86" s="12" t="n">
        <v>92</v>
      </c>
      <c r="N86" s="12" t="n">
        <v>0</v>
      </c>
      <c r="O86" s="12" t="n">
        <v>0</v>
      </c>
    </row>
    <row r="87" ht="15.75" customHeight="1" s="11">
      <c r="A87" s="12" t="inlineStr">
        <is>
          <t>Toy Story 2</t>
        </is>
      </c>
      <c r="B87" s="12" t="inlineStr">
        <is>
          <t>card_086</t>
        </is>
      </c>
      <c r="C87" s="12" t="inlineStr">
        <is>
          <t>John Lasseter</t>
        </is>
      </c>
      <c r="D87" s="12" t="n">
        <v>1999</v>
      </c>
      <c r="E87" s="18" t="n">
        <v>4</v>
      </c>
      <c r="F87" s="18" t="n">
        <v>86</v>
      </c>
      <c r="G87" s="12" t="n"/>
      <c r="H87" s="16">
        <f>ROUND((E87/5*100+F87)/2,0)</f>
        <v/>
      </c>
      <c r="I87" s="19" t="n">
        <v>497366869</v>
      </c>
      <c r="J87" s="12" t="inlineStr">
        <is>
          <t>n</t>
        </is>
      </c>
      <c r="K87" s="19" t="n">
        <v>90000000</v>
      </c>
      <c r="L87" s="12" t="inlineStr">
        <is>
          <t>n</t>
        </is>
      </c>
      <c r="M87" s="12" t="n">
        <v>92</v>
      </c>
      <c r="N87" s="12" t="n">
        <v>0</v>
      </c>
      <c r="O87" s="12" t="n">
        <v>0</v>
      </c>
    </row>
    <row r="88" ht="15.75" customHeight="1" s="11">
      <c r="A88" s="12" t="inlineStr">
        <is>
          <t>Ratatouille</t>
        </is>
      </c>
      <c r="B88" s="12" t="inlineStr">
        <is>
          <t>card_087</t>
        </is>
      </c>
      <c r="C88" s="12" t="inlineStr">
        <is>
          <t>Brad Bird</t>
        </is>
      </c>
      <c r="D88" s="12" t="n">
        <v>2007</v>
      </c>
      <c r="E88" s="18" t="n">
        <v>4.2</v>
      </c>
      <c r="F88" s="18" t="n">
        <v>86</v>
      </c>
      <c r="G88" s="12" t="n"/>
      <c r="H88" s="16">
        <f>ROUND((E88/5*100+F88)/2,0)</f>
        <v/>
      </c>
      <c r="I88" s="19" t="n">
        <v>623722818</v>
      </c>
      <c r="J88" s="12" t="inlineStr">
        <is>
          <t>n</t>
        </is>
      </c>
      <c r="K88" s="19" t="n">
        <v>150000000</v>
      </c>
      <c r="L88" s="12" t="inlineStr">
        <is>
          <t>n</t>
        </is>
      </c>
      <c r="M88" s="12" t="n">
        <v>111</v>
      </c>
      <c r="N88" s="12" t="n">
        <v>1</v>
      </c>
      <c r="O88" s="12" t="n">
        <v>1</v>
      </c>
    </row>
    <row r="89" ht="15.75" customHeight="1" s="11">
      <c r="A89" s="12" t="inlineStr">
        <is>
          <t>Senna</t>
        </is>
      </c>
      <c r="B89" s="12" t="inlineStr">
        <is>
          <t>card_088</t>
        </is>
      </c>
      <c r="C89" s="12" t="inlineStr">
        <is>
          <t>Asif Kapadia</t>
        </is>
      </c>
      <c r="D89" s="12" t="n">
        <v>2011</v>
      </c>
      <c r="E89" s="18" t="n">
        <v>4.2</v>
      </c>
      <c r="F89" s="18" t="n">
        <v>86</v>
      </c>
      <c r="G89" s="12" t="n"/>
      <c r="H89" s="16">
        <f>ROUND((E89/5*100+F89)/2,0)</f>
        <v/>
      </c>
      <c r="I89" s="19" t="n">
        <v>8300000</v>
      </c>
      <c r="J89" s="12" t="inlineStr">
        <is>
          <t>y</t>
        </is>
      </c>
      <c r="K89" s="19" t="n">
        <v>2800000</v>
      </c>
      <c r="L89" s="12" t="inlineStr">
        <is>
          <t>y</t>
        </is>
      </c>
      <c r="M89" s="12" t="n">
        <v>106</v>
      </c>
      <c r="N89" s="12" t="n">
        <v>0</v>
      </c>
      <c r="O89" s="12" t="n">
        <v>1</v>
      </c>
    </row>
    <row r="90" ht="15.75" customHeight="1" s="11">
      <c r="A90" s="12" t="inlineStr">
        <is>
          <t>City Lights</t>
        </is>
      </c>
      <c r="B90" s="12" t="inlineStr">
        <is>
          <t>card_089</t>
        </is>
      </c>
      <c r="C90" s="12" t="inlineStr">
        <is>
          <t>Charlie Chaplin</t>
        </is>
      </c>
      <c r="D90" s="12" t="n">
        <v>1931</v>
      </c>
      <c r="E90" s="18" t="n">
        <v>4.5</v>
      </c>
      <c r="F90" s="18" t="n">
        <v>86</v>
      </c>
      <c r="G90" s="12" t="n"/>
      <c r="H90" s="16">
        <f>ROUND((E90/5*100+F90)/2,0)</f>
        <v/>
      </c>
      <c r="I90" s="19" t="n">
        <v>4250000</v>
      </c>
      <c r="J90" s="12" t="inlineStr">
        <is>
          <t>n</t>
        </is>
      </c>
      <c r="K90" s="19" t="n">
        <v>1500000</v>
      </c>
      <c r="L90" s="12" t="inlineStr">
        <is>
          <t>n</t>
        </is>
      </c>
      <c r="M90" s="12" t="n">
        <v>87</v>
      </c>
      <c r="N90" s="12" t="n">
        <v>0</v>
      </c>
      <c r="O90" s="12" t="n">
        <v>1</v>
      </c>
    </row>
    <row r="91" ht="15.75" customHeight="1" s="11">
      <c r="A91" s="12" t="inlineStr">
        <is>
          <t>Vertigo</t>
        </is>
      </c>
      <c r="B91" s="12" t="inlineStr">
        <is>
          <t>card_090</t>
        </is>
      </c>
      <c r="C91" s="12" t="inlineStr">
        <is>
          <t>Alfred Hitchcock</t>
        </is>
      </c>
      <c r="D91" s="12" t="n">
        <v>1958</v>
      </c>
      <c r="E91" s="18" t="n">
        <v>4.3</v>
      </c>
      <c r="F91" s="18" t="n">
        <v>86</v>
      </c>
      <c r="G91" s="12" t="n"/>
      <c r="H91" s="16">
        <f>ROUND((E91/5*100+F91)/2,0)</f>
        <v/>
      </c>
      <c r="I91" s="19" t="n">
        <v>7300000</v>
      </c>
      <c r="J91" s="12" t="inlineStr">
        <is>
          <t>n</t>
        </is>
      </c>
      <c r="K91" s="19" t="n">
        <v>2500000</v>
      </c>
      <c r="L91" s="12" t="inlineStr">
        <is>
          <t>n</t>
        </is>
      </c>
      <c r="M91" s="12" t="n">
        <v>128</v>
      </c>
      <c r="N91" s="12" t="n">
        <v>0</v>
      </c>
      <c r="O91" s="12" t="n">
        <v>0</v>
      </c>
    </row>
    <row r="92" ht="15.75" customHeight="1" s="11">
      <c r="A92" s="12" t="inlineStr">
        <is>
          <t>Inside Out</t>
        </is>
      </c>
      <c r="B92" s="12" t="inlineStr">
        <is>
          <t>card_091</t>
        </is>
      </c>
      <c r="C92" s="12" t="inlineStr">
        <is>
          <t>Pete Docter</t>
        </is>
      </c>
      <c r="D92" s="12" t="n">
        <v>2015</v>
      </c>
      <c r="E92" s="18" t="n">
        <v>4.2</v>
      </c>
      <c r="F92" s="18" t="n">
        <v>86</v>
      </c>
      <c r="G92" s="12" t="n"/>
      <c r="H92" s="16">
        <f>ROUND((E92/5*100+F92)/2,0)</f>
        <v/>
      </c>
      <c r="I92" s="19" t="n">
        <v>858800000</v>
      </c>
      <c r="J92" s="12" t="inlineStr">
        <is>
          <t>n</t>
        </is>
      </c>
      <c r="K92" s="19" t="n">
        <v>175000000</v>
      </c>
      <c r="L92" s="12" t="inlineStr">
        <is>
          <t>n</t>
        </is>
      </c>
      <c r="M92" s="12" t="n">
        <v>95</v>
      </c>
      <c r="N92" s="12" t="n">
        <v>1</v>
      </c>
      <c r="O92" s="12" t="n">
        <v>3</v>
      </c>
    </row>
    <row r="93" ht="15.75" customHeight="1" s="11">
      <c r="A93" s="12" t="inlineStr">
        <is>
          <t>Zootopia</t>
        </is>
      </c>
      <c r="B93" s="12" t="inlineStr">
        <is>
          <t>card_092</t>
        </is>
      </c>
      <c r="C93" s="12" t="inlineStr">
        <is>
          <t>Byron Howard, Rich Moore</t>
        </is>
      </c>
      <c r="D93" s="12" t="n">
        <v>2016</v>
      </c>
      <c r="E93" s="18" t="n">
        <v>4</v>
      </c>
      <c r="F93" s="18" t="n">
        <v>86</v>
      </c>
      <c r="G93" s="12" t="n"/>
      <c r="H93" s="16">
        <f>ROUND((E93/5*100+F93)/2,0)</f>
        <v/>
      </c>
      <c r="I93" s="19" t="n">
        <v>1024000000</v>
      </c>
      <c r="J93" s="12" t="inlineStr">
        <is>
          <t>n</t>
        </is>
      </c>
      <c r="K93" s="19" t="n">
        <v>150000000</v>
      </c>
      <c r="L93" s="12" t="inlineStr">
        <is>
          <t>n</t>
        </is>
      </c>
      <c r="M93" s="12" t="n">
        <v>108</v>
      </c>
      <c r="N93" s="12" t="n">
        <v>1</v>
      </c>
      <c r="O93" s="12" t="n">
        <v>2</v>
      </c>
    </row>
    <row r="94" ht="15.75" customHeight="1" s="11">
      <c r="A94" s="12" t="inlineStr">
        <is>
          <t>The Shining</t>
        </is>
      </c>
      <c r="B94" s="12" t="inlineStr">
        <is>
          <t>card_093</t>
        </is>
      </c>
      <c r="C94" s="12" t="inlineStr">
        <is>
          <t>Stanley Kubrick</t>
        </is>
      </c>
      <c r="D94" s="12" t="n">
        <v>1980</v>
      </c>
      <c r="E94" s="18" t="n">
        <v>4.4</v>
      </c>
      <c r="F94" s="18" t="n">
        <v>86</v>
      </c>
      <c r="G94" s="12" t="n"/>
      <c r="H94" s="16">
        <f>ROUND((E94/5*100+F94)/2,0)</f>
        <v/>
      </c>
      <c r="I94" s="19" t="n">
        <v>50000000</v>
      </c>
      <c r="J94" s="12" t="inlineStr">
        <is>
          <t>n</t>
        </is>
      </c>
      <c r="K94" s="19" t="n">
        <v>19000000</v>
      </c>
      <c r="L94" s="12" t="inlineStr">
        <is>
          <t>n</t>
        </is>
      </c>
      <c r="M94" s="12" t="n">
        <v>144</v>
      </c>
      <c r="N94" s="12" t="n">
        <v>0</v>
      </c>
      <c r="O94" s="12" t="n">
        <v>1</v>
      </c>
    </row>
    <row r="95" ht="15.75" customHeight="1" s="11">
      <c r="A95" s="12" t="inlineStr">
        <is>
          <t>Elite Squad: The Enemy Within</t>
        </is>
      </c>
      <c r="B95" s="12" t="inlineStr">
        <is>
          <t>card_094</t>
        </is>
      </c>
      <c r="C95" s="12" t="inlineStr">
        <is>
          <t>Jose Padilha</t>
        </is>
      </c>
      <c r="D95" s="12" t="n">
        <v>2011</v>
      </c>
      <c r="E95" s="18" t="n">
        <v>4.2</v>
      </c>
      <c r="F95" s="18" t="n">
        <v>86</v>
      </c>
      <c r="G95" s="12" t="n"/>
      <c r="H95" s="16">
        <f>ROUND((E95/5*100+F95)/2,0)</f>
        <v/>
      </c>
      <c r="I95" s="19" t="n">
        <v>35000000</v>
      </c>
      <c r="J95" s="12" t="inlineStr">
        <is>
          <t>y</t>
        </is>
      </c>
      <c r="K95" s="19" t="n">
        <v>4000000</v>
      </c>
      <c r="L95" s="12" t="inlineStr">
        <is>
          <t>y</t>
        </is>
      </c>
      <c r="M95" s="12" t="n">
        <v>115</v>
      </c>
      <c r="N95" s="12" t="n">
        <v>0</v>
      </c>
      <c r="O95" s="12" t="n">
        <v>0</v>
      </c>
    </row>
    <row r="96" ht="15.75" customHeight="1" s="11">
      <c r="A96" s="12" t="inlineStr">
        <is>
          <t>Das Boot</t>
        </is>
      </c>
      <c r="B96" s="12" t="inlineStr">
        <is>
          <t>card_095</t>
        </is>
      </c>
      <c r="C96" s="12" t="inlineStr">
        <is>
          <t>Wolfgang Petersen</t>
        </is>
      </c>
      <c r="D96" s="12" t="n">
        <v>1981</v>
      </c>
      <c r="E96" s="18" t="n">
        <v>4.4</v>
      </c>
      <c r="F96" s="18" t="n">
        <v>86</v>
      </c>
      <c r="G96" s="12" t="n"/>
      <c r="H96" s="16">
        <f>ROUND((E96/5*100+F96)/2,0)</f>
        <v/>
      </c>
      <c r="I96" s="19" t="n">
        <v>85000000</v>
      </c>
      <c r="J96" s="12" t="inlineStr">
        <is>
          <t>n</t>
        </is>
      </c>
      <c r="K96" s="19" t="n">
        <v>13000000</v>
      </c>
      <c r="L96" s="12" t="inlineStr">
        <is>
          <t>n</t>
        </is>
      </c>
      <c r="M96" s="12" t="n">
        <v>149</v>
      </c>
      <c r="N96" s="12" t="n">
        <v>0</v>
      </c>
      <c r="O96" s="12" t="n">
        <v>0</v>
      </c>
    </row>
    <row r="97" ht="15.75" customHeight="1" s="11">
      <c r="A97" s="12" t="inlineStr">
        <is>
          <t>Monsters, Inc.</t>
        </is>
      </c>
      <c r="B97" s="12" t="inlineStr">
        <is>
          <t>card_096</t>
        </is>
      </c>
      <c r="C97" s="12" t="inlineStr">
        <is>
          <t>Pete Docter</t>
        </is>
      </c>
      <c r="D97" s="12" t="n">
        <v>2001</v>
      </c>
      <c r="E97" s="18" t="n">
        <v>4.1</v>
      </c>
      <c r="F97" s="18" t="n">
        <v>86</v>
      </c>
      <c r="G97" s="12" t="n"/>
      <c r="H97" s="16">
        <f>ROUND((E97/5*100+F97)/2,0)</f>
        <v/>
      </c>
      <c r="I97" s="19" t="n">
        <v>579700000</v>
      </c>
      <c r="J97" s="12" t="inlineStr">
        <is>
          <t>n</t>
        </is>
      </c>
      <c r="K97" s="19" t="n">
        <v>115000000</v>
      </c>
      <c r="L97" s="12" t="inlineStr">
        <is>
          <t>n</t>
        </is>
      </c>
      <c r="M97" s="12" t="n">
        <v>92</v>
      </c>
      <c r="N97" s="12" t="n">
        <v>1</v>
      </c>
      <c r="O97" s="12" t="n">
        <v>3</v>
      </c>
    </row>
    <row r="98" ht="15.75" customHeight="1" s="11">
      <c r="A98" s="12" t="inlineStr">
        <is>
          <t>Dancer in the Dark</t>
        </is>
      </c>
      <c r="B98" s="12" t="inlineStr">
        <is>
          <t>card_097</t>
        </is>
      </c>
      <c r="C98" s="12" t="inlineStr">
        <is>
          <t>Lars von Trier</t>
        </is>
      </c>
      <c r="D98" s="12" t="n">
        <v>2000</v>
      </c>
      <c r="E98" s="18" t="n">
        <v>4.2</v>
      </c>
      <c r="F98" s="18" t="n">
        <v>86</v>
      </c>
      <c r="G98" s="12" t="n"/>
      <c r="H98" s="16">
        <f>ROUND((E98/5*100+F98)/2,0)</f>
        <v/>
      </c>
      <c r="I98" s="19" t="n">
        <v>45600000</v>
      </c>
      <c r="J98" s="12" t="inlineStr">
        <is>
          <t>n</t>
        </is>
      </c>
      <c r="K98" s="19" t="n">
        <v>12800000</v>
      </c>
      <c r="L98" s="12" t="inlineStr">
        <is>
          <t>y</t>
        </is>
      </c>
      <c r="M98" s="12" t="n">
        <v>140</v>
      </c>
      <c r="N98" s="12" t="n">
        <v>0</v>
      </c>
      <c r="O98" s="12" t="n">
        <v>0</v>
      </c>
    </row>
    <row r="99" ht="15.75" customHeight="1" s="11">
      <c r="A99" s="12" t="inlineStr">
        <is>
          <t>Memories of Murder</t>
        </is>
      </c>
      <c r="B99" s="12" t="inlineStr">
        <is>
          <t>card_098</t>
        </is>
      </c>
      <c r="C99" s="12" t="inlineStr">
        <is>
          <t>Bong Joon Ho</t>
        </is>
      </c>
      <c r="D99" s="12" t="n">
        <v>2003</v>
      </c>
      <c r="E99" s="18" t="n">
        <v>4.4</v>
      </c>
      <c r="F99" s="18" t="n">
        <v>86</v>
      </c>
      <c r="G99" s="12" t="n"/>
      <c r="H99" s="16">
        <f>ROUND((E99/5*100+F99)/2,0)</f>
        <v/>
      </c>
      <c r="I99" s="19" t="n">
        <v>29000000</v>
      </c>
      <c r="J99" s="12" t="inlineStr">
        <is>
          <t>y</t>
        </is>
      </c>
      <c r="K99" s="19" t="n">
        <v>3000000</v>
      </c>
      <c r="L99" s="12" t="inlineStr">
        <is>
          <t>y</t>
        </is>
      </c>
      <c r="M99" s="12" t="n">
        <v>131</v>
      </c>
      <c r="N99" s="12" t="n">
        <v>0</v>
      </c>
      <c r="O99" s="12" t="n">
        <v>4</v>
      </c>
    </row>
    <row r="100" ht="15.75" customHeight="1" s="11">
      <c r="A100" s="12" t="inlineStr">
        <is>
          <t>Ran</t>
        </is>
      </c>
      <c r="B100" s="12" t="inlineStr">
        <is>
          <t>card_099</t>
        </is>
      </c>
      <c r="C100" s="12" t="inlineStr">
        <is>
          <t>Akira Kurosawa</t>
        </is>
      </c>
      <c r="D100" s="12" t="n">
        <v>1985</v>
      </c>
      <c r="E100" s="18" t="n">
        <v>4.5</v>
      </c>
      <c r="F100" s="18" t="n">
        <v>86</v>
      </c>
      <c r="G100" s="12" t="n"/>
      <c r="H100" s="16">
        <f>ROUND((E100/5*100+F100)/2,0)</f>
        <v/>
      </c>
      <c r="I100" s="19" t="n">
        <v>19000000</v>
      </c>
      <c r="J100" s="12" t="inlineStr">
        <is>
          <t>n</t>
        </is>
      </c>
      <c r="K100" s="19" t="n">
        <v>11500000</v>
      </c>
      <c r="L100" s="12" t="inlineStr">
        <is>
          <t>n</t>
        </is>
      </c>
      <c r="M100" s="12" t="n">
        <v>162</v>
      </c>
      <c r="N100" s="12" t="n">
        <v>1</v>
      </c>
      <c r="O100" s="12" t="n">
        <v>0</v>
      </c>
    </row>
    <row r="101" ht="15.75" customHeight="1" s="11">
      <c r="A101" s="12" t="inlineStr">
        <is>
          <t>Good Will Hunting</t>
        </is>
      </c>
      <c r="B101" s="12" t="inlineStr">
        <is>
          <t>card_100</t>
        </is>
      </c>
      <c r="C101" s="12" t="inlineStr">
        <is>
          <t>Gus Van Sant</t>
        </is>
      </c>
      <c r="D101" s="12" t="n">
        <v>1997</v>
      </c>
      <c r="E101" s="18" t="n">
        <v>4.2</v>
      </c>
      <c r="F101" s="18" t="n">
        <v>86</v>
      </c>
      <c r="G101" s="12" t="n"/>
      <c r="H101" s="16">
        <f>ROUND((E101/5*100+F101)/2,0)</f>
        <v/>
      </c>
      <c r="I101" s="19" t="n">
        <v>225900000</v>
      </c>
      <c r="J101" s="12" t="inlineStr">
        <is>
          <t>n</t>
        </is>
      </c>
      <c r="K101" s="19" t="n">
        <v>13000000</v>
      </c>
      <c r="L101" s="12" t="inlineStr">
        <is>
          <t>n</t>
        </is>
      </c>
      <c r="M101" s="12" t="n">
        <v>126</v>
      </c>
      <c r="N101" s="12" t="n">
        <v>2</v>
      </c>
      <c r="O101" s="12" t="n">
        <v>0</v>
      </c>
    </row>
    <row r="102" ht="15.75" customHeight="1" s="11">
      <c r="A102" s="12" t="inlineStr">
        <is>
          <t>Indiana Jones and the Last Crusade</t>
        </is>
      </c>
      <c r="B102" s="12" t="inlineStr">
        <is>
          <t>card_101</t>
        </is>
      </c>
      <c r="C102" s="12" t="inlineStr">
        <is>
          <t>Steven Spielberg</t>
        </is>
      </c>
      <c r="D102" s="12" t="n">
        <v>1989</v>
      </c>
      <c r="E102" s="18" t="n">
        <v>4</v>
      </c>
      <c r="F102" s="18" t="n">
        <v>86</v>
      </c>
      <c r="G102" s="12" t="n"/>
      <c r="H102" s="16">
        <f>ROUND((E102/5*100+F102)/2,0)</f>
        <v/>
      </c>
      <c r="I102" s="19" t="n">
        <v>474200000</v>
      </c>
      <c r="J102" s="12" t="inlineStr">
        <is>
          <t>n</t>
        </is>
      </c>
      <c r="K102" s="19" t="n">
        <v>48000000</v>
      </c>
      <c r="L102" s="12" t="inlineStr">
        <is>
          <t>n</t>
        </is>
      </c>
      <c r="M102" s="12" t="n">
        <v>128</v>
      </c>
      <c r="N102" s="12" t="n">
        <v>1</v>
      </c>
      <c r="O102" s="12" t="n">
        <v>3</v>
      </c>
    </row>
    <row r="103" ht="15.75" customHeight="1" s="11">
      <c r="A103" s="12" t="inlineStr">
        <is>
          <t>Jaws</t>
        </is>
      </c>
      <c r="B103" s="12" t="inlineStr">
        <is>
          <t>card_102</t>
        </is>
      </c>
      <c r="C103" s="12" t="inlineStr">
        <is>
          <t>Steven Spielberg</t>
        </is>
      </c>
      <c r="D103" s="12" t="n">
        <v>1975</v>
      </c>
      <c r="E103" s="18" t="n">
        <v>4.2</v>
      </c>
      <c r="F103" s="18" t="n">
        <v>86</v>
      </c>
      <c r="G103" s="12" t="n"/>
      <c r="H103" s="16">
        <f>ROUND((E103/5*100+F103)/2,0)</f>
        <v/>
      </c>
      <c r="I103" s="19" t="n">
        <v>495000000</v>
      </c>
      <c r="J103" s="12" t="inlineStr">
        <is>
          <t>n</t>
        </is>
      </c>
      <c r="K103" s="19" t="n">
        <v>9000000</v>
      </c>
      <c r="L103" s="12" t="inlineStr">
        <is>
          <t>n</t>
        </is>
      </c>
      <c r="M103" s="12" t="n">
        <v>124</v>
      </c>
      <c r="N103" s="12" t="n">
        <v>3</v>
      </c>
      <c r="O103" s="12" t="n">
        <v>3</v>
      </c>
    </row>
    <row r="104" ht="15.75" customHeight="1" s="11">
      <c r="A104" s="12" t="inlineStr">
        <is>
          <t>Downfall</t>
        </is>
      </c>
      <c r="B104" s="12" t="inlineStr">
        <is>
          <t>card_103</t>
        </is>
      </c>
      <c r="C104" s="12" t="inlineStr">
        <is>
          <t>Oliver Hirschbiegel</t>
        </is>
      </c>
      <c r="D104" s="12" t="n">
        <v>2004</v>
      </c>
      <c r="E104" s="18" t="n">
        <v>4.4</v>
      </c>
      <c r="F104" s="18" t="n">
        <v>86</v>
      </c>
      <c r="G104" s="12" t="n"/>
      <c r="H104" s="16">
        <f>ROUND((E104/5*100+F104)/2,0)</f>
        <v/>
      </c>
      <c r="I104" s="19" t="n">
        <v>93600000</v>
      </c>
      <c r="J104" s="12" t="inlineStr">
        <is>
          <t>n</t>
        </is>
      </c>
      <c r="K104" s="19" t="n">
        <v>15500000</v>
      </c>
      <c r="L104" s="12" t="inlineStr">
        <is>
          <t>n</t>
        </is>
      </c>
      <c r="M104" s="12" t="n">
        <v>150</v>
      </c>
      <c r="N104" s="12" t="n">
        <v>0</v>
      </c>
      <c r="O104" s="12" t="n">
        <v>0</v>
      </c>
    </row>
    <row r="105" ht="15.75" customHeight="1" s="11">
      <c r="A105" s="12" t="inlineStr">
        <is>
          <t>Shrek</t>
        </is>
      </c>
      <c r="B105" s="12" t="inlineStr">
        <is>
          <t>card_104</t>
        </is>
      </c>
      <c r="C105" s="12" t="inlineStr">
        <is>
          <t>Andrew Adamson</t>
        </is>
      </c>
      <c r="D105" s="12" t="n">
        <v>2001</v>
      </c>
      <c r="E105" s="18" t="n">
        <v>3.9</v>
      </c>
      <c r="F105" s="18" t="n">
        <v>86</v>
      </c>
      <c r="G105" s="12" t="n"/>
      <c r="H105" s="16">
        <f>ROUND((E105/5*100+F105)/2,0)</f>
        <v/>
      </c>
      <c r="I105" s="19" t="n">
        <v>484400000</v>
      </c>
      <c r="J105" s="12" t="inlineStr">
        <is>
          <t>n</t>
        </is>
      </c>
      <c r="K105" s="19" t="n">
        <v>60000000</v>
      </c>
      <c r="L105" s="12" t="inlineStr">
        <is>
          <t>n</t>
        </is>
      </c>
      <c r="M105" s="12" t="n">
        <v>90</v>
      </c>
      <c r="N105" s="12" t="n">
        <v>1</v>
      </c>
      <c r="O105" s="12" t="n">
        <v>1</v>
      </c>
    </row>
    <row r="106" ht="15.75" customHeight="1" s="11">
      <c r="A106" s="12" t="inlineStr">
        <is>
          <t>Sunset Boulevard</t>
        </is>
      </c>
      <c r="B106" s="12" t="inlineStr">
        <is>
          <t>card_105</t>
        </is>
      </c>
      <c r="C106" s="12" t="inlineStr">
        <is>
          <t>Billy Wilder</t>
        </is>
      </c>
      <c r="D106" s="12" t="n">
        <v>1950</v>
      </c>
      <c r="E106" s="18" t="n">
        <v>4.5</v>
      </c>
      <c r="F106" s="18" t="n">
        <v>86</v>
      </c>
      <c r="G106" s="12" t="n"/>
      <c r="H106" s="16">
        <f>ROUND((E106/5*100+F106)/2,0)</f>
        <v/>
      </c>
      <c r="I106" s="19" t="n">
        <v>5000000</v>
      </c>
      <c r="J106" s="12" t="inlineStr">
        <is>
          <t>y</t>
        </is>
      </c>
      <c r="K106" s="19" t="n">
        <v>1752000</v>
      </c>
      <c r="L106" s="12" t="inlineStr">
        <is>
          <t>n</t>
        </is>
      </c>
      <c r="M106" s="12" t="n">
        <v>110</v>
      </c>
      <c r="N106" s="12" t="n">
        <v>3</v>
      </c>
      <c r="O106" s="12" t="n">
        <v>6</v>
      </c>
    </row>
    <row r="107" ht="15.75" customHeight="1" s="11">
      <c r="A107" s="12" t="inlineStr">
        <is>
          <t>Godzilla Minus One</t>
        </is>
      </c>
      <c r="B107" s="12" t="inlineStr">
        <is>
          <t>card_106</t>
        </is>
      </c>
      <c r="C107" s="12" t="inlineStr">
        <is>
          <t>Takashi Yamazaki</t>
        </is>
      </c>
      <c r="D107" s="12" t="n">
        <v>2023</v>
      </c>
      <c r="E107" s="18" t="n">
        <v>4.3</v>
      </c>
      <c r="F107" s="18" t="n">
        <v>86</v>
      </c>
      <c r="G107" s="12" t="n"/>
      <c r="H107" s="16">
        <f>ROUND((E107/5*100+F107)/2,0)</f>
        <v/>
      </c>
      <c r="I107" s="19" t="n">
        <v>115900000</v>
      </c>
      <c r="J107" s="12" t="inlineStr">
        <is>
          <t>n</t>
        </is>
      </c>
      <c r="K107" s="19" t="n">
        <v>15000000</v>
      </c>
      <c r="L107" s="12" t="inlineStr">
        <is>
          <t>y</t>
        </is>
      </c>
      <c r="M107" s="12" t="n">
        <v>125</v>
      </c>
      <c r="N107" s="12" t="n">
        <v>1</v>
      </c>
      <c r="O107" s="12" t="n">
        <v>1</v>
      </c>
    </row>
    <row r="108" ht="15.75" customHeight="1" s="11">
      <c r="A108" s="12" t="inlineStr">
        <is>
          <t>Pan's Labyrinth</t>
        </is>
      </c>
      <c r="B108" s="12" t="inlineStr">
        <is>
          <t>card_107</t>
        </is>
      </c>
      <c r="C108" s="12" t="inlineStr">
        <is>
          <t>Guillermo del Toro</t>
        </is>
      </c>
      <c r="D108" s="12" t="n">
        <v>2006</v>
      </c>
      <c r="E108" s="18" t="n">
        <v>4.3</v>
      </c>
      <c r="F108" s="18" t="n">
        <v>86</v>
      </c>
      <c r="G108" s="12" t="n"/>
      <c r="H108" s="16">
        <f>ROUND((E108/5*100+F108)/2,0)</f>
        <v/>
      </c>
      <c r="I108" s="19" t="n">
        <v>83900000</v>
      </c>
      <c r="J108" s="12" t="inlineStr">
        <is>
          <t>n</t>
        </is>
      </c>
      <c r="K108" s="19" t="n">
        <v>19000000</v>
      </c>
      <c r="L108" s="12" t="inlineStr">
        <is>
          <t>n</t>
        </is>
      </c>
      <c r="M108" s="12" t="n">
        <v>118</v>
      </c>
      <c r="N108" s="12" t="n">
        <v>3</v>
      </c>
      <c r="O108" s="12" t="n">
        <v>3</v>
      </c>
    </row>
    <row r="109" ht="15.75" customHeight="1" s="11">
      <c r="A109" s="12" t="inlineStr">
        <is>
          <t>Metropolis</t>
        </is>
      </c>
      <c r="B109" s="12" t="inlineStr">
        <is>
          <t>card_108</t>
        </is>
      </c>
      <c r="C109" s="12" t="inlineStr">
        <is>
          <t>Fritz Lang</t>
        </is>
      </c>
      <c r="D109" s="12" t="n">
        <v>1927</v>
      </c>
      <c r="E109" s="18" t="n">
        <v>4.1</v>
      </c>
      <c r="F109" s="18" t="n">
        <v>86</v>
      </c>
      <c r="G109" s="12" t="n"/>
      <c r="H109" s="16">
        <f>ROUND((E109/5*100+F109)/2,0)</f>
        <v/>
      </c>
      <c r="I109" s="19" t="n">
        <v>1000000</v>
      </c>
      <c r="J109" s="12" t="inlineStr">
        <is>
          <t>y</t>
        </is>
      </c>
      <c r="K109" s="19" t="n">
        <v>1300000</v>
      </c>
      <c r="L109" s="12" t="inlineStr">
        <is>
          <t>y</t>
        </is>
      </c>
      <c r="M109" s="12" t="n">
        <v>153</v>
      </c>
      <c r="N109" s="12" t="n">
        <v>0</v>
      </c>
      <c r="O109" s="12" t="n">
        <v>0</v>
      </c>
    </row>
    <row r="110" ht="15.75" customHeight="1" s="11">
      <c r="A110" s="12" t="inlineStr">
        <is>
          <t>The Terminator</t>
        </is>
      </c>
      <c r="B110" s="12" t="inlineStr">
        <is>
          <t>card_109</t>
        </is>
      </c>
      <c r="C110" s="12" t="inlineStr">
        <is>
          <t>James Cameron</t>
        </is>
      </c>
      <c r="D110" s="12" t="n">
        <v>1984</v>
      </c>
      <c r="E110" s="18" t="n">
        <v>4</v>
      </c>
      <c r="F110" s="18" t="n">
        <v>86</v>
      </c>
      <c r="G110" s="12" t="n"/>
      <c r="H110" s="16">
        <f>ROUND((E110/5*100+F110)/2,0)</f>
        <v/>
      </c>
      <c r="I110" s="19" t="n">
        <v>78300000</v>
      </c>
      <c r="J110" s="12" t="inlineStr">
        <is>
          <t>n</t>
        </is>
      </c>
      <c r="K110" s="19" t="n">
        <v>6400000</v>
      </c>
      <c r="L110" s="12" t="inlineStr">
        <is>
          <t>n</t>
        </is>
      </c>
      <c r="M110" s="12" t="n">
        <v>107</v>
      </c>
      <c r="N110" s="12" t="n">
        <v>0</v>
      </c>
      <c r="O110" s="12" t="n">
        <v>2</v>
      </c>
    </row>
    <row r="111" ht="15.75" customHeight="1" s="11">
      <c r="A111" s="12" t="inlineStr">
        <is>
          <t>Donnie Darko</t>
        </is>
      </c>
      <c r="B111" s="12" t="inlineStr">
        <is>
          <t>card_110</t>
        </is>
      </c>
      <c r="C111" s="12" t="inlineStr">
        <is>
          <t>Richard Kelly</t>
        </is>
      </c>
      <c r="D111" s="12" t="n">
        <v>2001</v>
      </c>
      <c r="E111" s="18" t="n">
        <v>4</v>
      </c>
      <c r="F111" s="18" t="n">
        <v>86</v>
      </c>
      <c r="G111" s="12" t="n"/>
      <c r="H111" s="16">
        <f>ROUND((E111/5*100+F111)/2,0)</f>
        <v/>
      </c>
      <c r="I111" s="19" t="n">
        <v>7700000</v>
      </c>
      <c r="J111" s="12" t="inlineStr">
        <is>
          <t>n</t>
        </is>
      </c>
      <c r="K111" s="19" t="n">
        <v>6000000</v>
      </c>
      <c r="L111" s="12" t="inlineStr">
        <is>
          <t>n</t>
        </is>
      </c>
      <c r="M111" s="12" t="n">
        <v>113</v>
      </c>
      <c r="N111" s="12" t="n">
        <v>0</v>
      </c>
      <c r="O111" s="12" t="n">
        <v>0</v>
      </c>
    </row>
    <row r="112" ht="15.75" customHeight="1" s="11">
      <c r="A112" s="12" t="inlineStr">
        <is>
          <t>Howl's Moving Castle</t>
        </is>
      </c>
      <c r="B112" s="12" t="inlineStr">
        <is>
          <t>card_111</t>
        </is>
      </c>
      <c r="C112" s="12" t="inlineStr">
        <is>
          <t>Hayao Miyazaki</t>
        </is>
      </c>
      <c r="D112" s="12" t="n">
        <v>2004</v>
      </c>
      <c r="E112" s="18" t="n">
        <v>4.2</v>
      </c>
      <c r="F112" s="18" t="n">
        <v>86</v>
      </c>
      <c r="G112" s="12" t="n"/>
      <c r="H112" s="16">
        <f>ROUND((E112/5*100+F112)/2,0)</f>
        <v/>
      </c>
      <c r="I112" s="19" t="n">
        <v>236000000</v>
      </c>
      <c r="J112" s="12" t="inlineStr">
        <is>
          <t>n</t>
        </is>
      </c>
      <c r="K112" s="19" t="n">
        <v>24000000</v>
      </c>
      <c r="L112" s="12" t="inlineStr">
        <is>
          <t>y</t>
        </is>
      </c>
      <c r="M112" s="12" t="n">
        <v>119</v>
      </c>
      <c r="N112" s="12" t="n">
        <v>0</v>
      </c>
      <c r="O112" s="12" t="n">
        <v>1</v>
      </c>
    </row>
    <row r="113" ht="15.75" customHeight="1" s="11">
      <c r="A113" s="12" t="inlineStr">
        <is>
          <t>Oldboy</t>
        </is>
      </c>
      <c r="B113" s="12" t="inlineStr">
        <is>
          <t>card_112</t>
        </is>
      </c>
      <c r="C113" s="12" t="inlineStr">
        <is>
          <t>Park Chan-wook</t>
        </is>
      </c>
      <c r="D113" s="12" t="n">
        <v>2003</v>
      </c>
      <c r="E113" s="18" t="n">
        <v>4.2</v>
      </c>
      <c r="F113" s="18" t="n">
        <v>85</v>
      </c>
      <c r="G113" s="12" t="n"/>
      <c r="H113" s="16">
        <f>ROUND((E113/5*100+F113)/2,0)</f>
        <v/>
      </c>
      <c r="I113" s="19" t="n">
        <v>15000000</v>
      </c>
      <c r="J113" s="12" t="inlineStr">
        <is>
          <t>n</t>
        </is>
      </c>
      <c r="K113" s="19" t="n">
        <v>3000000</v>
      </c>
      <c r="L113" s="12" t="inlineStr">
        <is>
          <t>n</t>
        </is>
      </c>
      <c r="M113" s="12" t="n">
        <v>120</v>
      </c>
      <c r="N113" s="12" t="n">
        <v>0</v>
      </c>
      <c r="O113" s="12" t="n">
        <v>0</v>
      </c>
    </row>
    <row r="114" ht="15.75" customHeight="1" s="11">
      <c r="A114" s="12" t="inlineStr">
        <is>
          <t>Weekend</t>
        </is>
      </c>
      <c r="B114" s="12" t="inlineStr">
        <is>
          <t>card_113</t>
        </is>
      </c>
      <c r="C114" s="12" t="inlineStr">
        <is>
          <t>Andrew Haigh</t>
        </is>
      </c>
      <c r="D114" s="12" t="n">
        <v>2011</v>
      </c>
      <c r="E114" s="18" t="n">
        <v>3.9</v>
      </c>
      <c r="F114" s="18" t="n">
        <v>85</v>
      </c>
      <c r="G114" s="12" t="n"/>
      <c r="H114" s="16">
        <f>ROUND((E114/5*100+F114)/2,0)</f>
        <v/>
      </c>
      <c r="I114" s="19" t="n">
        <v>1400000</v>
      </c>
      <c r="J114" s="12" t="inlineStr">
        <is>
          <t>y</t>
        </is>
      </c>
      <c r="K114" s="19" t="n">
        <v>150000</v>
      </c>
      <c r="L114" s="12" t="inlineStr">
        <is>
          <t>y</t>
        </is>
      </c>
      <c r="M114" s="12" t="n">
        <v>97</v>
      </c>
      <c r="N114" s="12" t="n">
        <v>0</v>
      </c>
      <c r="O114" s="12" t="n">
        <v>0</v>
      </c>
    </row>
    <row r="115" ht="15.75" customHeight="1" s="11">
      <c r="A115" s="12" t="inlineStr">
        <is>
          <t>Aladdin</t>
        </is>
      </c>
      <c r="B115" s="12" t="inlineStr">
        <is>
          <t>card_114</t>
        </is>
      </c>
      <c r="C115" s="12" t="inlineStr">
        <is>
          <t>Ron Clements</t>
        </is>
      </c>
      <c r="D115" s="12" t="n">
        <v>1992</v>
      </c>
      <c r="E115" s="18" t="n">
        <v>3.8</v>
      </c>
      <c r="F115" s="18" t="n">
        <v>85</v>
      </c>
      <c r="G115" s="12" t="n"/>
      <c r="H115" s="16">
        <f>ROUND((E115/5*100+F115)/2,0)</f>
        <v/>
      </c>
      <c r="I115" s="19" t="n">
        <v>504050219</v>
      </c>
      <c r="J115" s="12" t="inlineStr">
        <is>
          <t>n</t>
        </is>
      </c>
      <c r="K115" s="19" t="n">
        <v>28000000</v>
      </c>
      <c r="L115" s="12" t="inlineStr">
        <is>
          <t>n</t>
        </is>
      </c>
      <c r="M115" s="12" t="n">
        <v>90</v>
      </c>
      <c r="N115" s="12" t="n">
        <v>2</v>
      </c>
      <c r="O115" s="12" t="n">
        <v>0</v>
      </c>
    </row>
    <row r="116" ht="15.75" customHeight="1" s="11">
      <c r="A116" s="12" t="inlineStr">
        <is>
          <t>Spider-Man: Across the Spider-Verse</t>
        </is>
      </c>
      <c r="B116" s="12" t="inlineStr">
        <is>
          <t>card_115</t>
        </is>
      </c>
      <c r="C116" s="12" t="inlineStr">
        <is>
          <t>Joaquim Dos Santos</t>
        </is>
      </c>
      <c r="D116" s="12" t="n">
        <v>2023</v>
      </c>
      <c r="E116" s="18" t="n">
        <v>4.5</v>
      </c>
      <c r="F116" s="18" t="n">
        <v>85</v>
      </c>
      <c r="G116" s="12" t="n"/>
      <c r="H116" s="16">
        <f>ROUND((E116/5*100+F116)/2,0)</f>
        <v/>
      </c>
      <c r="I116" s="19" t="n">
        <v>690823459</v>
      </c>
      <c r="J116" s="12" t="inlineStr">
        <is>
          <t>n</t>
        </is>
      </c>
      <c r="K116" s="19" t="n">
        <v>100000000</v>
      </c>
      <c r="L116" s="12" t="inlineStr">
        <is>
          <t>n</t>
        </is>
      </c>
      <c r="M116" s="12" t="n">
        <v>140</v>
      </c>
      <c r="N116" s="12" t="n">
        <v>0</v>
      </c>
      <c r="O116" s="12" t="n">
        <v>0</v>
      </c>
    </row>
    <row r="117" ht="15.75" customHeight="1" s="11">
      <c r="A117" s="12" t="inlineStr">
        <is>
          <t>Double Indemnity</t>
        </is>
      </c>
      <c r="B117" s="12" t="inlineStr">
        <is>
          <t>card_116</t>
        </is>
      </c>
      <c r="C117" s="12" t="inlineStr">
        <is>
          <t>Billy Wilder</t>
        </is>
      </c>
      <c r="D117" s="12" t="n">
        <v>1944</v>
      </c>
      <c r="E117" s="18" t="n">
        <v>4.3</v>
      </c>
      <c r="F117" s="18" t="n">
        <v>85</v>
      </c>
      <c r="G117" s="12" t="n"/>
      <c r="H117" s="16">
        <f>ROUND((E117/5*100+F117)/2,0)</f>
        <v/>
      </c>
      <c r="I117" s="19" t="n">
        <v>5000000</v>
      </c>
      <c r="J117" s="12" t="inlineStr">
        <is>
          <t>y</t>
        </is>
      </c>
      <c r="K117" s="19" t="n">
        <v>980000</v>
      </c>
      <c r="L117" s="12" t="inlineStr">
        <is>
          <t>n</t>
        </is>
      </c>
      <c r="M117" s="12" t="n">
        <v>107</v>
      </c>
      <c r="N117" s="12" t="n">
        <v>0</v>
      </c>
      <c r="O117" s="12" t="n">
        <v>6</v>
      </c>
    </row>
    <row r="118" ht="15.75" customHeight="1" s="11">
      <c r="A118" s="12" t="inlineStr">
        <is>
          <t>Pink Floyd: The Wall</t>
        </is>
      </c>
      <c r="B118" s="12" t="inlineStr">
        <is>
          <t>card_117</t>
        </is>
      </c>
      <c r="C118" s="12" t="inlineStr">
        <is>
          <t>Alan Parker</t>
        </is>
      </c>
      <c r="D118" s="12" t="n">
        <v>1982</v>
      </c>
      <c r="E118" s="18" t="n">
        <v>4</v>
      </c>
      <c r="F118" s="18" t="n">
        <v>85</v>
      </c>
      <c r="G118" s="12" t="n"/>
      <c r="H118" s="16">
        <f>ROUND((E118/5*100+F118)/2,0)</f>
        <v/>
      </c>
      <c r="I118" s="19" t="n">
        <v>22244127</v>
      </c>
      <c r="J118" s="12" t="inlineStr">
        <is>
          <t>n</t>
        </is>
      </c>
      <c r="K118" s="19" t="n">
        <v>12000000</v>
      </c>
      <c r="L118" s="12" t="inlineStr">
        <is>
          <t>n</t>
        </is>
      </c>
      <c r="M118" s="12" t="n">
        <v>95</v>
      </c>
      <c r="N118" s="12" t="n">
        <v>0</v>
      </c>
      <c r="O118" s="12" t="n">
        <v>0</v>
      </c>
    </row>
    <row r="119" ht="15.75" customHeight="1" s="11">
      <c r="A119" s="12" t="inlineStr">
        <is>
          <t>The Sound of Music</t>
        </is>
      </c>
      <c r="B119" s="12" t="inlineStr">
        <is>
          <t>card_118</t>
        </is>
      </c>
      <c r="C119" s="12" t="inlineStr">
        <is>
          <t>Robert Wise</t>
        </is>
      </c>
      <c r="D119" s="12" t="n">
        <v>1965</v>
      </c>
      <c r="E119" s="18" t="n">
        <v>4.1</v>
      </c>
      <c r="F119" s="18" t="n">
        <v>85</v>
      </c>
      <c r="G119" s="12" t="n"/>
      <c r="H119" s="16">
        <f>ROUND((E119/5*100+F119)/2,0)</f>
        <v/>
      </c>
      <c r="I119" s="19" t="n">
        <v>286214286</v>
      </c>
      <c r="J119" s="12" t="inlineStr">
        <is>
          <t>n</t>
        </is>
      </c>
      <c r="K119" s="19" t="n">
        <v>8200000</v>
      </c>
      <c r="L119" s="12" t="inlineStr">
        <is>
          <t>n</t>
        </is>
      </c>
      <c r="M119" s="12" t="n">
        <v>172</v>
      </c>
      <c r="N119" s="12" t="n">
        <v>5</v>
      </c>
      <c r="O119" s="12" t="n">
        <v>4</v>
      </c>
    </row>
    <row r="120" ht="15.75" customHeight="1" s="11">
      <c r="A120" s="12" t="inlineStr">
        <is>
          <t>Heat</t>
        </is>
      </c>
      <c r="B120" s="12" t="inlineStr">
        <is>
          <t>card_119</t>
        </is>
      </c>
      <c r="C120" s="12" t="inlineStr">
        <is>
          <t>Michael Mann</t>
        </is>
      </c>
      <c r="D120" s="12" t="n">
        <v>1995</v>
      </c>
      <c r="E120" s="18" t="n">
        <v>4.2</v>
      </c>
      <c r="F120" s="18" t="n">
        <v>85</v>
      </c>
      <c r="G120" s="12" t="n"/>
      <c r="H120" s="16">
        <f>ROUND((E120/5*100+F120)/2,0)</f>
        <v/>
      </c>
      <c r="I120" s="19" t="n">
        <v>187436818</v>
      </c>
      <c r="J120" s="12" t="inlineStr">
        <is>
          <t>n</t>
        </is>
      </c>
      <c r="K120" s="19" t="n">
        <v>60000000</v>
      </c>
      <c r="L120" s="12" t="inlineStr">
        <is>
          <t>n</t>
        </is>
      </c>
      <c r="M120" s="12" t="n">
        <v>170</v>
      </c>
      <c r="N120" s="12" t="n">
        <v>0</v>
      </c>
      <c r="O120" s="12" t="n">
        <v>0</v>
      </c>
    </row>
    <row r="121" ht="15.75" customHeight="1" s="11">
      <c r="A121" s="12" t="inlineStr">
        <is>
          <t>Reservoir Dogs</t>
        </is>
      </c>
      <c r="B121" s="12" t="inlineStr">
        <is>
          <t>card_120</t>
        </is>
      </c>
      <c r="C121" s="12" t="inlineStr">
        <is>
          <t>Quentin Tarantino</t>
        </is>
      </c>
      <c r="D121" s="12" t="n">
        <v>1992</v>
      </c>
      <c r="E121" s="18" t="n">
        <v>4.1</v>
      </c>
      <c r="F121" s="18" t="n">
        <v>85</v>
      </c>
      <c r="G121" s="12" t="n"/>
      <c r="H121" s="16">
        <f>ROUND((E121/5*100+F121)/2,0)</f>
        <v/>
      </c>
      <c r="I121" s="19" t="n">
        <v>2832029</v>
      </c>
      <c r="J121" s="12" t="inlineStr">
        <is>
          <t>n</t>
        </is>
      </c>
      <c r="K121" s="19" t="n">
        <v>1200000</v>
      </c>
      <c r="L121" s="12" t="inlineStr">
        <is>
          <t>n</t>
        </is>
      </c>
      <c r="M121" s="12" t="n">
        <v>99</v>
      </c>
      <c r="N121" s="12" t="n">
        <v>0</v>
      </c>
      <c r="O121" s="12" t="n">
        <v>2</v>
      </c>
    </row>
    <row r="122" ht="15.75" customHeight="1" s="11">
      <c r="A122" s="12" t="inlineStr">
        <is>
          <t>No Country for Old Men</t>
        </is>
      </c>
      <c r="B122" s="12" t="inlineStr">
        <is>
          <t>card_121</t>
        </is>
      </c>
      <c r="C122" s="12" t="inlineStr">
        <is>
          <t>Ethan Coen and Joel Coen</t>
        </is>
      </c>
      <c r="D122" s="12" t="n">
        <v>2007</v>
      </c>
      <c r="E122" s="18" t="n">
        <v>4.3</v>
      </c>
      <c r="F122" s="18" t="n">
        <v>85</v>
      </c>
      <c r="G122" s="12" t="n"/>
      <c r="H122" s="16">
        <f>ROUND((E122/5*100+F122)/2,0)</f>
        <v/>
      </c>
      <c r="I122" s="19" t="n">
        <v>171627166</v>
      </c>
      <c r="J122" s="12" t="inlineStr">
        <is>
          <t>n</t>
        </is>
      </c>
      <c r="K122" s="19" t="n">
        <v>25000000</v>
      </c>
      <c r="L122" s="12" t="inlineStr">
        <is>
          <t>n</t>
        </is>
      </c>
      <c r="M122" s="12" t="n">
        <v>122</v>
      </c>
      <c r="N122" s="12" t="n">
        <v>4</v>
      </c>
      <c r="O122" s="12" t="n">
        <v>1</v>
      </c>
    </row>
    <row r="123" ht="15.75" customHeight="1" s="11">
      <c r="A123" s="12" t="inlineStr">
        <is>
          <t>My Name Is Khan</t>
        </is>
      </c>
      <c r="B123" s="12" t="inlineStr">
        <is>
          <t>card_122</t>
        </is>
      </c>
      <c r="C123" s="12" t="inlineStr">
        <is>
          <t>Karan Johar</t>
        </is>
      </c>
      <c r="D123" s="12" t="n">
        <v>2010</v>
      </c>
      <c r="E123" s="18" t="n">
        <v>3.7</v>
      </c>
      <c r="F123" s="18" t="n">
        <v>85</v>
      </c>
      <c r="G123" s="12" t="n"/>
      <c r="H123" s="16">
        <f>ROUND((E123/5*100+F123)/2,0)</f>
        <v/>
      </c>
      <c r="I123" s="19" t="n">
        <v>50000000</v>
      </c>
      <c r="J123" s="12" t="inlineStr">
        <is>
          <t>y</t>
        </is>
      </c>
      <c r="K123" s="19" t="n">
        <v>8800000</v>
      </c>
      <c r="L123" s="12" t="inlineStr">
        <is>
          <t>y</t>
        </is>
      </c>
      <c r="M123" s="12" t="n">
        <v>165</v>
      </c>
      <c r="N123" s="12" t="n">
        <v>0</v>
      </c>
      <c r="O123" s="12" t="n">
        <v>0</v>
      </c>
    </row>
    <row r="124" ht="15.75" customHeight="1" s="11">
      <c r="A124" s="12" t="inlineStr">
        <is>
          <t>Dogville</t>
        </is>
      </c>
      <c r="B124" s="12" t="inlineStr">
        <is>
          <t>card_123</t>
        </is>
      </c>
      <c r="C124" s="12" t="inlineStr">
        <is>
          <t>Lars von Trier</t>
        </is>
      </c>
      <c r="D124" s="12" t="n">
        <v>2003</v>
      </c>
      <c r="E124" s="18" t="n">
        <v>4.1</v>
      </c>
      <c r="F124" s="18" t="n">
        <v>85</v>
      </c>
      <c r="G124" s="12" t="n"/>
      <c r="H124" s="16">
        <f>ROUND((E124/5*100+F124)/2,0)</f>
        <v/>
      </c>
      <c r="I124" s="19" t="n">
        <v>16700000</v>
      </c>
      <c r="J124" s="12" t="inlineStr">
        <is>
          <t>y</t>
        </is>
      </c>
      <c r="K124" s="19" t="n">
        <v>10000000</v>
      </c>
      <c r="L124" s="12" t="inlineStr">
        <is>
          <t>y</t>
        </is>
      </c>
      <c r="M124" s="12" t="n">
        <v>178</v>
      </c>
      <c r="N124" s="12" t="n">
        <v>0</v>
      </c>
      <c r="O124" s="12" t="n">
        <v>0</v>
      </c>
    </row>
    <row r="125" ht="15.75" customHeight="1" s="11">
      <c r="A125" s="12" t="inlineStr">
        <is>
          <t>Raging Bull</t>
        </is>
      </c>
      <c r="B125" s="12" t="inlineStr">
        <is>
          <t>card_124</t>
        </is>
      </c>
      <c r="C125" s="12" t="inlineStr">
        <is>
          <t>Martin Scorsese</t>
        </is>
      </c>
      <c r="D125" s="12" t="n">
        <v>1980</v>
      </c>
      <c r="E125" s="18" t="n">
        <v>4.3</v>
      </c>
      <c r="F125" s="18" t="n">
        <v>85</v>
      </c>
      <c r="G125" s="12" t="n"/>
      <c r="H125" s="16">
        <f>ROUND((E125/5*100+F125)/2,0)</f>
        <v/>
      </c>
      <c r="I125" s="19" t="n">
        <v>23383987</v>
      </c>
      <c r="J125" s="12" t="inlineStr">
        <is>
          <t>n</t>
        </is>
      </c>
      <c r="K125" s="19" t="n">
        <v>18000000</v>
      </c>
      <c r="L125" s="12" t="inlineStr">
        <is>
          <t>n</t>
        </is>
      </c>
      <c r="M125" s="12" t="n">
        <v>129</v>
      </c>
      <c r="N125" s="12" t="n">
        <v>2</v>
      </c>
      <c r="O125" s="12" t="n">
        <v>1</v>
      </c>
    </row>
    <row r="126" ht="15.75" customHeight="1" s="11">
      <c r="A126" s="12" t="inlineStr">
        <is>
          <t>Predator</t>
        </is>
      </c>
      <c r="B126" s="12" t="inlineStr">
        <is>
          <t>card_125</t>
        </is>
      </c>
      <c r="C126" s="12" t="inlineStr">
        <is>
          <t>John McTiernan</t>
        </is>
      </c>
      <c r="D126" s="12" t="n">
        <v>1987</v>
      </c>
      <c r="E126" s="18" t="n">
        <v>3.8</v>
      </c>
      <c r="F126" s="18" t="n">
        <v>85</v>
      </c>
      <c r="G126" s="12" t="n"/>
      <c r="H126" s="16">
        <f>ROUND((E126/5*100+F126)/2,0)</f>
        <v/>
      </c>
      <c r="I126" s="19" t="n">
        <v>98267558</v>
      </c>
      <c r="J126" s="12" t="inlineStr">
        <is>
          <t>n</t>
        </is>
      </c>
      <c r="K126" s="19" t="n">
        <v>18000000</v>
      </c>
      <c r="L126" s="12" t="inlineStr">
        <is>
          <t>n</t>
        </is>
      </c>
      <c r="M126" s="12" t="n">
        <v>107</v>
      </c>
      <c r="N126" s="12" t="n">
        <v>0</v>
      </c>
      <c r="O126" s="12" t="n">
        <v>0</v>
      </c>
    </row>
    <row r="127" ht="15.75" customHeight="1" s="11">
      <c r="A127" s="12" t="inlineStr">
        <is>
          <t>Hot Fuzz</t>
        </is>
      </c>
      <c r="B127" s="12" t="inlineStr">
        <is>
          <t>card_126</t>
        </is>
      </c>
      <c r="C127" s="12" t="inlineStr">
        <is>
          <t>Edgar Wright</t>
        </is>
      </c>
      <c r="D127" s="12" t="n">
        <v>2007</v>
      </c>
      <c r="E127" s="18" t="n">
        <v>4</v>
      </c>
      <c r="F127" s="18" t="n">
        <v>85</v>
      </c>
      <c r="G127" s="12" t="n"/>
      <c r="H127" s="16">
        <f>ROUND((E127/5*100+F127)/2,0)</f>
        <v/>
      </c>
      <c r="I127" s="19" t="n">
        <v>80839247</v>
      </c>
      <c r="J127" s="12" t="inlineStr">
        <is>
          <t>n</t>
        </is>
      </c>
      <c r="K127" s="19" t="n">
        <v>12000000</v>
      </c>
      <c r="L127" s="12" t="inlineStr">
        <is>
          <t>n</t>
        </is>
      </c>
      <c r="M127" s="12" t="n">
        <v>121</v>
      </c>
      <c r="N127" s="12" t="n">
        <v>0</v>
      </c>
      <c r="O127" s="12" t="n">
        <v>0</v>
      </c>
    </row>
    <row r="128" ht="15.75" customHeight="1" s="11">
      <c r="A128" s="12" t="inlineStr">
        <is>
          <t>Star Trek II: The Wrath of Khan</t>
        </is>
      </c>
      <c r="B128" s="12" t="inlineStr">
        <is>
          <t>card_127</t>
        </is>
      </c>
      <c r="C128" s="12" t="inlineStr">
        <is>
          <t>Nicholas Meyer</t>
        </is>
      </c>
      <c r="D128" s="12" t="n">
        <v>1982</v>
      </c>
      <c r="E128" s="18" t="n">
        <v>3.9</v>
      </c>
      <c r="F128" s="18" t="n">
        <v>85</v>
      </c>
      <c r="G128" s="12" t="n"/>
      <c r="H128" s="16">
        <f>ROUND((E128/5*100+F128)/2,0)</f>
        <v/>
      </c>
      <c r="I128" s="19" t="n">
        <v>97007488</v>
      </c>
      <c r="J128" s="12" t="inlineStr">
        <is>
          <t>n</t>
        </is>
      </c>
      <c r="K128" s="19" t="n">
        <v>11200000</v>
      </c>
      <c r="L128" s="12" t="inlineStr">
        <is>
          <t>n</t>
        </is>
      </c>
      <c r="M128" s="12" t="n">
        <v>113</v>
      </c>
      <c r="N128" s="12" t="n">
        <v>0</v>
      </c>
      <c r="O128" s="12" t="n">
        <v>0</v>
      </c>
    </row>
    <row r="129" ht="15.75" customHeight="1" s="11">
      <c r="A129" s="12" t="inlineStr">
        <is>
          <t>Mad Max: Fury Road</t>
        </is>
      </c>
      <c r="B129" s="12" t="inlineStr">
        <is>
          <t>card_128</t>
        </is>
      </c>
      <c r="C129" s="12" t="inlineStr">
        <is>
          <t>George Miller</t>
        </is>
      </c>
      <c r="D129" s="12" t="n">
        <v>2015</v>
      </c>
      <c r="E129" s="18" t="n">
        <v>4.2</v>
      </c>
      <c r="F129" s="18" t="n">
        <v>85</v>
      </c>
      <c r="G129" s="12" t="n"/>
      <c r="H129" s="16">
        <f>ROUND((E129/5*100+F129)/2,0)</f>
        <v/>
      </c>
      <c r="I129" s="19" t="n">
        <v>380274127</v>
      </c>
      <c r="J129" s="12" t="inlineStr">
        <is>
          <t>n</t>
        </is>
      </c>
      <c r="K129" s="19" t="n">
        <v>150000000</v>
      </c>
      <c r="L129" s="12" t="inlineStr">
        <is>
          <t>n</t>
        </is>
      </c>
      <c r="M129" s="12" t="n">
        <v>120</v>
      </c>
      <c r="N129" s="12" t="n">
        <v>6</v>
      </c>
      <c r="O129" s="12" t="n">
        <v>1</v>
      </c>
    </row>
    <row r="130" ht="15.75" customHeight="1" s="11">
      <c r="A130" s="12" t="inlineStr">
        <is>
          <t>Ghost in the Shell</t>
        </is>
      </c>
      <c r="B130" s="12" t="inlineStr">
        <is>
          <t>card_129</t>
        </is>
      </c>
      <c r="C130" s="12" t="inlineStr">
        <is>
          <t>Mamoru Oshii</t>
        </is>
      </c>
      <c r="D130" s="12" t="n">
        <v>1995</v>
      </c>
      <c r="E130" s="18" t="n">
        <v>4</v>
      </c>
      <c r="F130" s="18" t="n">
        <v>85</v>
      </c>
      <c r="G130" s="12" t="n"/>
      <c r="H130" s="16">
        <f>ROUND((E130/5*100+F130)/2,0)</f>
        <v/>
      </c>
      <c r="I130" s="19" t="n">
        <v>10000000</v>
      </c>
      <c r="J130" s="12" t="inlineStr">
        <is>
          <t>n</t>
        </is>
      </c>
      <c r="K130" s="19" t="n">
        <v>3300000</v>
      </c>
      <c r="L130" s="12" t="inlineStr">
        <is>
          <t>y</t>
        </is>
      </c>
      <c r="M130" s="12" t="n">
        <v>83</v>
      </c>
      <c r="N130" s="12" t="n">
        <v>0</v>
      </c>
      <c r="O130" s="12" t="n">
        <v>0</v>
      </c>
    </row>
    <row r="131" ht="15.75" customHeight="1" s="11">
      <c r="A131" s="12" t="inlineStr">
        <is>
          <t>Coco</t>
        </is>
      </c>
      <c r="B131" s="12" t="inlineStr">
        <is>
          <t>card_130</t>
        </is>
      </c>
      <c r="C131" s="12" t="inlineStr">
        <is>
          <t>Lee Unkrich</t>
        </is>
      </c>
      <c r="D131" s="12" t="n">
        <v>2017</v>
      </c>
      <c r="E131" s="18" t="n">
        <v>4.3</v>
      </c>
      <c r="F131" s="18" t="n">
        <v>85</v>
      </c>
      <c r="G131" s="12" t="n"/>
      <c r="H131" s="16">
        <f>ROUND((E131/5*100+F131)/2,0)</f>
        <v/>
      </c>
      <c r="I131" s="19" t="n">
        <v>814648081</v>
      </c>
      <c r="J131" s="12" t="inlineStr">
        <is>
          <t>n</t>
        </is>
      </c>
      <c r="K131" s="19" t="n">
        <v>175000000</v>
      </c>
      <c r="L131" s="12" t="inlineStr">
        <is>
          <t>y</t>
        </is>
      </c>
      <c r="M131" s="12" t="n">
        <v>105</v>
      </c>
      <c r="N131" s="12" t="n">
        <v>2</v>
      </c>
      <c r="O131" s="12" t="n">
        <v>2</v>
      </c>
    </row>
    <row r="132" ht="15.75" customHeight="1" s="11">
      <c r="A132" s="12" t="inlineStr">
        <is>
          <t>Dog Day Afternoon</t>
        </is>
      </c>
      <c r="B132" s="12" t="inlineStr">
        <is>
          <t>card_131</t>
        </is>
      </c>
      <c r="C132" s="12" t="inlineStr">
        <is>
          <t>Sidney Lumet</t>
        </is>
      </c>
      <c r="D132" s="12" t="n">
        <v>1975</v>
      </c>
      <c r="E132" s="18" t="n">
        <v>4.2</v>
      </c>
      <c r="F132" s="18" t="n">
        <v>85</v>
      </c>
      <c r="G132" s="12" t="n"/>
      <c r="H132" s="16">
        <f>ROUND((E132/5*100+F132)/2,0)</f>
        <v/>
      </c>
      <c r="I132" s="19" t="n">
        <v>50000000</v>
      </c>
      <c r="J132" s="12" t="inlineStr">
        <is>
          <t>y</t>
        </is>
      </c>
      <c r="K132" s="19" t="n">
        <v>1800000</v>
      </c>
      <c r="L132" s="12" t="inlineStr">
        <is>
          <t>n</t>
        </is>
      </c>
      <c r="M132" s="12" t="n">
        <v>125</v>
      </c>
      <c r="N132" s="12" t="n">
        <v>1</v>
      </c>
      <c r="O132" s="12" t="n">
        <v>0</v>
      </c>
    </row>
    <row r="133" ht="15.75" customHeight="1" s="11">
      <c r="A133" s="12" t="inlineStr">
        <is>
          <t>Portrait of a Lady on Fire</t>
        </is>
      </c>
      <c r="B133" s="12" t="inlineStr">
        <is>
          <t>card_132</t>
        </is>
      </c>
      <c r="C133" s="12" t="inlineStr">
        <is>
          <t>Celine Sciamma</t>
        </is>
      </c>
      <c r="D133" s="12" t="n">
        <v>2019</v>
      </c>
      <c r="E133" s="18" t="n">
        <v>4.4</v>
      </c>
      <c r="F133" s="18" t="n">
        <v>85</v>
      </c>
      <c r="G133" s="12" t="n"/>
      <c r="H133" s="16">
        <f>ROUND((E133/5*100+F133)/2,0)</f>
        <v/>
      </c>
      <c r="I133" s="19" t="n">
        <v>6500000</v>
      </c>
      <c r="J133" s="12" t="inlineStr">
        <is>
          <t>y</t>
        </is>
      </c>
      <c r="K133" s="19" t="n">
        <v>5400000</v>
      </c>
      <c r="L133" s="12" t="inlineStr">
        <is>
          <t>y</t>
        </is>
      </c>
      <c r="M133" s="12" t="n">
        <v>122</v>
      </c>
      <c r="N133" s="12" t="n">
        <v>0</v>
      </c>
      <c r="O133" s="12" t="n">
        <v>0</v>
      </c>
    </row>
    <row r="134" ht="15.75" customHeight="1" s="11">
      <c r="A134" s="12" t="inlineStr">
        <is>
          <t>The Father</t>
        </is>
      </c>
      <c r="B134" s="12" t="inlineStr">
        <is>
          <t>card_133</t>
        </is>
      </c>
      <c r="C134" s="12" t="inlineStr">
        <is>
          <t>Florian Zeller</t>
        </is>
      </c>
      <c r="D134" s="12" t="n">
        <v>2020</v>
      </c>
      <c r="E134" s="18" t="n">
        <v>4.2</v>
      </c>
      <c r="F134" s="18" t="n">
        <v>85</v>
      </c>
      <c r="G134" s="12" t="n"/>
      <c r="H134" s="16">
        <f>ROUND((E134/5*100+F134)/2,0)</f>
        <v/>
      </c>
      <c r="I134" s="19" t="n">
        <v>20000000</v>
      </c>
      <c r="J134" s="12" t="inlineStr">
        <is>
          <t>y</t>
        </is>
      </c>
      <c r="K134" s="19" t="n">
        <v>6000000</v>
      </c>
      <c r="L134" s="12" t="inlineStr">
        <is>
          <t>y</t>
        </is>
      </c>
      <c r="M134" s="12" t="n">
        <v>97</v>
      </c>
      <c r="N134" s="12" t="n">
        <v>2</v>
      </c>
      <c r="O134" s="12" t="n">
        <v>1</v>
      </c>
    </row>
    <row r="135" ht="15.75" customHeight="1" s="11">
      <c r="A135" s="12" t="inlineStr">
        <is>
          <t>Elite Squad</t>
        </is>
      </c>
      <c r="B135" s="12" t="inlineStr">
        <is>
          <t>card_134</t>
        </is>
      </c>
      <c r="C135" s="12" t="inlineStr">
        <is>
          <t>José Padilha</t>
        </is>
      </c>
      <c r="D135" s="12" t="n">
        <v>2007</v>
      </c>
      <c r="E135" s="18" t="n">
        <v>3.9</v>
      </c>
      <c r="F135" s="18" t="n">
        <v>85</v>
      </c>
      <c r="G135" s="12" t="n"/>
      <c r="H135" s="16">
        <f>ROUND((E135/5*100+F135)/2,0)</f>
        <v/>
      </c>
      <c r="I135" s="19" t="n">
        <v>5000000</v>
      </c>
      <c r="J135" s="12" t="inlineStr">
        <is>
          <t>y</t>
        </is>
      </c>
      <c r="K135" s="19" t="n">
        <v>4000000</v>
      </c>
      <c r="L135" s="12" t="inlineStr">
        <is>
          <t>y</t>
        </is>
      </c>
      <c r="M135" s="12" t="n">
        <v>115</v>
      </c>
      <c r="N135" s="12" t="n">
        <v>0</v>
      </c>
      <c r="O135" s="12" t="n">
        <v>0</v>
      </c>
    </row>
    <row r="136" ht="15.75" customHeight="1" s="11">
      <c r="A136" s="12" t="inlineStr">
        <is>
          <t>Secrets &amp; Lies</t>
        </is>
      </c>
      <c r="B136" s="12" t="inlineStr">
        <is>
          <t>card_135</t>
        </is>
      </c>
      <c r="C136" s="12" t="inlineStr">
        <is>
          <t>Mike Leigh</t>
        </is>
      </c>
      <c r="D136" s="12" t="n">
        <v>1996</v>
      </c>
      <c r="E136" s="18" t="n">
        <v>4</v>
      </c>
      <c r="F136" s="18" t="n">
        <v>85</v>
      </c>
      <c r="G136" s="12" t="n"/>
      <c r="H136" s="16">
        <f>ROUND((E136/5*100+F136)/2,0)</f>
        <v/>
      </c>
      <c r="I136" s="19" t="n">
        <v>17000000</v>
      </c>
      <c r="J136" s="12" t="inlineStr">
        <is>
          <t>y</t>
        </is>
      </c>
      <c r="K136" s="19" t="n">
        <v>5000000</v>
      </c>
      <c r="L136" s="12" t="inlineStr">
        <is>
          <t>y</t>
        </is>
      </c>
      <c r="M136" s="12" t="n">
        <v>142</v>
      </c>
      <c r="N136" s="12" t="n">
        <v>0</v>
      </c>
      <c r="O136" s="12" t="n">
        <v>0</v>
      </c>
    </row>
    <row r="137" ht="15.75" customHeight="1" s="11">
      <c r="A137" s="12" t="inlineStr">
        <is>
          <t>Shrek 2</t>
        </is>
      </c>
      <c r="B137" s="12" t="inlineStr">
        <is>
          <t>card_136</t>
        </is>
      </c>
      <c r="C137" s="12" t="inlineStr">
        <is>
          <t>Andrew Adamson</t>
        </is>
      </c>
      <c r="D137" s="12" t="n">
        <v>2004</v>
      </c>
      <c r="E137" s="18" t="n">
        <v>3.8</v>
      </c>
      <c r="F137" s="18" t="n">
        <v>85</v>
      </c>
      <c r="G137" s="12" t="n"/>
      <c r="H137" s="16">
        <f>ROUND((E137/5*100+F137)/2,0)</f>
        <v/>
      </c>
      <c r="I137" s="19" t="n">
        <v>928760770</v>
      </c>
      <c r="J137" s="12" t="inlineStr">
        <is>
          <t>n</t>
        </is>
      </c>
      <c r="K137" s="19" t="n">
        <v>150000000</v>
      </c>
      <c r="L137" s="12" t="inlineStr">
        <is>
          <t>n</t>
        </is>
      </c>
      <c r="M137" s="12" t="n">
        <v>93</v>
      </c>
      <c r="N137" s="12" t="n">
        <v>0</v>
      </c>
      <c r="O137" s="12" t="n">
        <v>0</v>
      </c>
    </row>
    <row r="138" ht="15.75" customHeight="1" s="11">
      <c r="A138" s="12" t="inlineStr">
        <is>
          <t>Wild Tales</t>
        </is>
      </c>
      <c r="B138" s="12" t="inlineStr">
        <is>
          <t>card_137</t>
        </is>
      </c>
      <c r="C138" s="12" t="inlineStr">
        <is>
          <t>Damián Szifron</t>
        </is>
      </c>
      <c r="D138" s="12" t="n">
        <v>2014</v>
      </c>
      <c r="E138" s="18" t="n">
        <v>4.2</v>
      </c>
      <c r="F138" s="18" t="n">
        <v>85</v>
      </c>
      <c r="G138" s="12" t="n"/>
      <c r="H138" s="16">
        <f>ROUND((E138/5*100+F138)/2,0)</f>
        <v/>
      </c>
      <c r="I138" s="19" t="n">
        <v>28800000</v>
      </c>
      <c r="J138" s="12" t="inlineStr">
        <is>
          <t>n</t>
        </is>
      </c>
      <c r="K138" s="19" t="n">
        <v>3300000</v>
      </c>
      <c r="L138" s="12" t="inlineStr">
        <is>
          <t>n</t>
        </is>
      </c>
      <c r="M138" s="12" t="n">
        <v>122</v>
      </c>
      <c r="N138" s="12" t="n">
        <v>0</v>
      </c>
      <c r="O138" s="12" t="n">
        <v>0</v>
      </c>
    </row>
    <row r="139" ht="15.75" customHeight="1" s="11">
      <c r="A139" s="12" t="inlineStr">
        <is>
          <t>Barry Lyndon</t>
        </is>
      </c>
      <c r="B139" s="12" t="inlineStr">
        <is>
          <t>card_138</t>
        </is>
      </c>
      <c r="C139" s="12" t="inlineStr">
        <is>
          <t>Stanley Kubrick</t>
        </is>
      </c>
      <c r="D139" s="12" t="n">
        <v>1975</v>
      </c>
      <c r="E139" s="18" t="n">
        <v>4.2</v>
      </c>
      <c r="F139" s="18" t="n">
        <v>85</v>
      </c>
      <c r="G139" s="12" t="n"/>
      <c r="H139" s="16">
        <f>ROUND((E139/5*100+F139)/2,0)</f>
        <v/>
      </c>
      <c r="I139" s="19" t="n">
        <v>20000000</v>
      </c>
      <c r="J139" s="12" t="inlineStr">
        <is>
          <t>y</t>
        </is>
      </c>
      <c r="K139" s="19" t="n">
        <v>11000000</v>
      </c>
      <c r="L139" s="12" t="inlineStr">
        <is>
          <t>n</t>
        </is>
      </c>
      <c r="M139" s="12" t="n">
        <v>185</v>
      </c>
      <c r="N139" s="12" t="n">
        <v>4</v>
      </c>
      <c r="O139" s="12" t="n">
        <v>1</v>
      </c>
    </row>
    <row r="140" ht="15.75" customHeight="1" s="11">
      <c r="A140" s="12" t="inlineStr">
        <is>
          <t>Won't You Be My Neighbor?</t>
        </is>
      </c>
      <c r="B140" s="12" t="inlineStr">
        <is>
          <t>card_139</t>
        </is>
      </c>
      <c r="C140" s="12" t="inlineStr">
        <is>
          <t>Morgan Neville</t>
        </is>
      </c>
      <c r="D140" s="12" t="n">
        <v>2018</v>
      </c>
      <c r="E140" s="18" t="n">
        <v>4.1</v>
      </c>
      <c r="F140" s="18" t="n">
        <v>85</v>
      </c>
      <c r="G140" s="12" t="n"/>
      <c r="H140" s="16">
        <f>ROUND((E140/5*100+F140)/2,0)</f>
        <v/>
      </c>
      <c r="I140" s="19" t="n">
        <v>22800000</v>
      </c>
      <c r="J140" s="12" t="inlineStr">
        <is>
          <t>n</t>
        </is>
      </c>
      <c r="K140" s="19" t="n">
        <v>2000000</v>
      </c>
      <c r="L140" s="12" t="inlineStr">
        <is>
          <t>y</t>
        </is>
      </c>
      <c r="M140" s="12" t="n">
        <v>94</v>
      </c>
      <c r="N140" s="12" t="n">
        <v>0</v>
      </c>
      <c r="O140" s="12" t="n">
        <v>1</v>
      </c>
    </row>
    <row r="141" ht="15.75" customHeight="1" s="11">
      <c r="A141" s="12" t="inlineStr">
        <is>
          <t>L.A. Confidential</t>
        </is>
      </c>
      <c r="B141" s="12" t="inlineStr">
        <is>
          <t>card_140</t>
        </is>
      </c>
      <c r="C141" s="12" t="inlineStr">
        <is>
          <t>Curtis Hanson</t>
        </is>
      </c>
      <c r="D141" s="12" t="n">
        <v>1997</v>
      </c>
      <c r="E141" s="18" t="n">
        <v>4.2</v>
      </c>
      <c r="F141" s="18" t="n">
        <v>85</v>
      </c>
      <c r="G141" s="12" t="n"/>
      <c r="H141" s="16">
        <f>ROUND((E141/5*100+F141)/2,0)</f>
        <v/>
      </c>
      <c r="I141" s="19" t="n">
        <v>126000000</v>
      </c>
      <c r="J141" s="12" t="inlineStr">
        <is>
          <t>n</t>
        </is>
      </c>
      <c r="K141" s="19" t="n">
        <v>35000000</v>
      </c>
      <c r="L141" s="12" t="inlineStr">
        <is>
          <t>n</t>
        </is>
      </c>
      <c r="M141" s="12" t="n">
        <v>138</v>
      </c>
      <c r="N141" s="12" t="n">
        <v>2</v>
      </c>
      <c r="O141" s="12" t="n">
        <v>1</v>
      </c>
    </row>
    <row r="142" ht="15.75" customHeight="1" s="11">
      <c r="A142" s="12" t="inlineStr">
        <is>
          <t>Gangs of Wasseypur</t>
        </is>
      </c>
      <c r="B142" s="12" t="inlineStr">
        <is>
          <t>card_141</t>
        </is>
      </c>
      <c r="C142" s="12" t="inlineStr">
        <is>
          <t>Anurag Kashyap</t>
        </is>
      </c>
      <c r="D142" s="12" t="n">
        <v>2012</v>
      </c>
      <c r="E142" s="18" t="n">
        <v>4.1</v>
      </c>
      <c r="F142" s="18" t="n">
        <v>85</v>
      </c>
      <c r="G142" s="12" t="n"/>
      <c r="H142" s="16">
        <f>ROUND((E142/5*100+F142)/2,0)</f>
        <v/>
      </c>
      <c r="I142" s="19" t="n">
        <v>3000000</v>
      </c>
      <c r="J142" s="12" t="inlineStr">
        <is>
          <t>y</t>
        </is>
      </c>
      <c r="K142" s="19" t="n">
        <v>3300000</v>
      </c>
      <c r="L142" s="12" t="inlineStr">
        <is>
          <t>y</t>
        </is>
      </c>
      <c r="M142" s="12" t="n">
        <v>321</v>
      </c>
      <c r="N142" s="12" t="n">
        <v>0</v>
      </c>
      <c r="O142" s="12" t="n">
        <v>0</v>
      </c>
    </row>
    <row r="143" ht="15.75" customHeight="1" s="11">
      <c r="A143" s="12" t="inlineStr">
        <is>
          <t>The Man Who Shot Liberty Valance</t>
        </is>
      </c>
      <c r="B143" s="12" t="inlineStr">
        <is>
          <t>card_142</t>
        </is>
      </c>
      <c r="C143" s="12" t="inlineStr">
        <is>
          <t>John Ford</t>
        </is>
      </c>
      <c r="D143" s="12" t="n">
        <v>1962</v>
      </c>
      <c r="E143" s="18" t="n">
        <v>4.2</v>
      </c>
      <c r="F143" s="18" t="n">
        <v>85</v>
      </c>
      <c r="G143" s="12" t="n"/>
      <c r="H143" s="16">
        <f>ROUND((E143/5*100+F143)/2,0)</f>
        <v/>
      </c>
      <c r="I143" s="19" t="n">
        <v>8000000</v>
      </c>
      <c r="J143" s="12" t="inlineStr">
        <is>
          <t>y</t>
        </is>
      </c>
      <c r="K143" s="19" t="n">
        <v>3200000</v>
      </c>
      <c r="L143" s="12" t="inlineStr">
        <is>
          <t>n</t>
        </is>
      </c>
      <c r="M143" s="12" t="n">
        <v>123</v>
      </c>
      <c r="N143" s="12" t="n">
        <v>0</v>
      </c>
      <c r="O143" s="12" t="n">
        <v>4</v>
      </c>
    </row>
    <row r="144" ht="15.75" customHeight="1" s="11">
      <c r="A144" s="12" t="inlineStr">
        <is>
          <t>The Handmaiden</t>
        </is>
      </c>
      <c r="B144" s="12" t="inlineStr">
        <is>
          <t>card_143</t>
        </is>
      </c>
      <c r="C144" s="12" t="inlineStr">
        <is>
          <t>Park Chan-wook</t>
        </is>
      </c>
      <c r="D144" s="12" t="n">
        <v>2016</v>
      </c>
      <c r="E144" s="18" t="n">
        <v>4.3</v>
      </c>
      <c r="F144" s="18" t="n">
        <v>85</v>
      </c>
      <c r="G144" s="12" t="n"/>
      <c r="H144" s="16">
        <f>ROUND((E144/5*100+F144)/2,0)</f>
        <v/>
      </c>
      <c r="I144" s="19" t="n">
        <v>37900000</v>
      </c>
      <c r="J144" s="12" t="inlineStr">
        <is>
          <t>n</t>
        </is>
      </c>
      <c r="K144" s="19" t="n">
        <v>9600000</v>
      </c>
      <c r="L144" s="12" t="inlineStr">
        <is>
          <t>n</t>
        </is>
      </c>
      <c r="M144" s="12" t="n">
        <v>145</v>
      </c>
      <c r="N144" s="12" t="n">
        <v>0</v>
      </c>
      <c r="O144" s="12" t="n">
        <v>0</v>
      </c>
    </row>
    <row r="145" ht="15.75" customHeight="1" s="11">
      <c r="A145" s="12" t="inlineStr">
        <is>
          <t>Wicked</t>
        </is>
      </c>
      <c r="B145" s="12" t="inlineStr">
        <is>
          <t>card_144</t>
        </is>
      </c>
      <c r="C145" s="12" t="inlineStr">
        <is>
          <t>Jon M. Chu</t>
        </is>
      </c>
      <c r="D145" s="12" t="n">
        <v>2024</v>
      </c>
      <c r="E145" s="18" t="n">
        <v>3.8</v>
      </c>
      <c r="F145" s="18" t="n">
        <v>85</v>
      </c>
      <c r="G145" s="12" t="n"/>
      <c r="H145" s="16">
        <f>ROUND((E145/5*100+F145)/2,0)</f>
        <v/>
      </c>
      <c r="I145" s="19" t="n">
        <v>756500000</v>
      </c>
      <c r="J145" s="12" t="inlineStr">
        <is>
          <t>n</t>
        </is>
      </c>
      <c r="K145" s="19" t="n">
        <v>150000000</v>
      </c>
      <c r="L145" s="12" t="inlineStr">
        <is>
          <t>n</t>
        </is>
      </c>
      <c r="M145" s="12" t="n">
        <v>160</v>
      </c>
      <c r="N145" s="12" t="n">
        <v>2</v>
      </c>
      <c r="O145" s="12" t="n">
        <v>0</v>
      </c>
    </row>
    <row r="146" ht="15.75" customHeight="1" s="11">
      <c r="A146" s="12" t="inlineStr">
        <is>
          <t>The Wild Robot</t>
        </is>
      </c>
      <c r="B146" s="12" t="inlineStr">
        <is>
          <t>card_145</t>
        </is>
      </c>
      <c r="C146" s="12" t="inlineStr">
        <is>
          <t>Chris Sanders</t>
        </is>
      </c>
      <c r="D146" s="12" t="n">
        <v>2024</v>
      </c>
      <c r="E146" s="18" t="n">
        <v>4.3</v>
      </c>
      <c r="F146" s="18" t="n">
        <v>85</v>
      </c>
      <c r="G146" s="12" t="n"/>
      <c r="H146" s="16">
        <f>ROUND((E146/5*100+F146)/2,0)</f>
        <v/>
      </c>
      <c r="I146" s="19" t="n">
        <v>325100000</v>
      </c>
      <c r="J146" s="12" t="inlineStr">
        <is>
          <t>n</t>
        </is>
      </c>
      <c r="K146" s="19" t="n">
        <v>78000000</v>
      </c>
      <c r="L146" s="12" t="inlineStr">
        <is>
          <t>n</t>
        </is>
      </c>
      <c r="M146" s="12" t="n">
        <v>102</v>
      </c>
      <c r="N146" s="12" t="n">
        <v>0</v>
      </c>
      <c r="O146" s="12" t="n">
        <v>0</v>
      </c>
    </row>
    <row r="147" ht="15.75" customHeight="1" s="11">
      <c r="A147" s="12" t="inlineStr">
        <is>
          <t>Guardians of the Galaxy</t>
        </is>
      </c>
      <c r="B147" s="12" t="inlineStr">
        <is>
          <t>card_146</t>
        </is>
      </c>
      <c r="C147" s="12" t="inlineStr">
        <is>
          <t>James Gunn</t>
        </is>
      </c>
      <c r="D147" s="12" t="n">
        <v>2014</v>
      </c>
      <c r="E147" s="18" t="n">
        <v>4</v>
      </c>
      <c r="F147" s="18" t="n">
        <v>85</v>
      </c>
      <c r="G147" s="12" t="n"/>
      <c r="H147" s="16">
        <f>ROUND((E147/5*100+F147)/2,0)</f>
        <v/>
      </c>
      <c r="I147" s="19" t="n">
        <v>772800000</v>
      </c>
      <c r="J147" s="12" t="inlineStr">
        <is>
          <t>n</t>
        </is>
      </c>
      <c r="K147" s="19" t="n">
        <v>170000000</v>
      </c>
      <c r="L147" s="12" t="inlineStr">
        <is>
          <t>n</t>
        </is>
      </c>
      <c r="M147" s="12" t="n">
        <v>121</v>
      </c>
      <c r="N147" s="12" t="n">
        <v>0</v>
      </c>
      <c r="O147" s="12" t="n">
        <v>0</v>
      </c>
    </row>
    <row r="148" ht="15.75" customHeight="1" s="11">
      <c r="A148" s="12" t="inlineStr">
        <is>
          <t>Her</t>
        </is>
      </c>
      <c r="B148" s="12" t="inlineStr">
        <is>
          <t>card_147</t>
        </is>
      </c>
      <c r="C148" s="12" t="inlineStr">
        <is>
          <t>Spike Jonze</t>
        </is>
      </c>
      <c r="D148" s="12" t="n">
        <v>2013</v>
      </c>
      <c r="E148" s="18" t="n">
        <v>4.3</v>
      </c>
      <c r="F148" s="18" t="n">
        <v>85</v>
      </c>
      <c r="G148" s="12" t="n"/>
      <c r="H148" s="16">
        <f>ROUND((E148/5*100+F148)/2,0)</f>
        <v/>
      </c>
      <c r="I148" s="19" t="n">
        <v>48000000</v>
      </c>
      <c r="J148" s="12" t="inlineStr">
        <is>
          <t>n</t>
        </is>
      </c>
      <c r="K148" s="19" t="n">
        <v>23000000</v>
      </c>
      <c r="L148" s="12" t="inlineStr">
        <is>
          <t>n</t>
        </is>
      </c>
      <c r="M148" s="12" t="n">
        <v>126</v>
      </c>
      <c r="N148" s="12" t="n">
        <v>1</v>
      </c>
      <c r="O148" s="12" t="n">
        <v>1</v>
      </c>
    </row>
    <row r="149" ht="15.75" customHeight="1" s="11">
      <c r="A149" s="12" t="inlineStr">
        <is>
          <t>The Tale of the Princess Kaguya</t>
        </is>
      </c>
      <c r="B149" s="12" t="inlineStr">
        <is>
          <t>card_148</t>
        </is>
      </c>
      <c r="C149" s="12" t="inlineStr">
        <is>
          <t>Isao Takahata</t>
        </is>
      </c>
      <c r="D149" s="12" t="n">
        <v>2013</v>
      </c>
      <c r="E149" s="18" t="n">
        <v>4.4</v>
      </c>
      <c r="F149" s="18" t="n">
        <v>85</v>
      </c>
      <c r="G149" s="12" t="n"/>
      <c r="H149" s="16">
        <f>ROUND((E149/5*100+F149)/2,0)</f>
        <v/>
      </c>
      <c r="I149" s="19" t="n">
        <v>25000000</v>
      </c>
      <c r="J149" s="12" t="inlineStr">
        <is>
          <t>y</t>
        </is>
      </c>
      <c r="K149" s="19" t="n">
        <v>49300000</v>
      </c>
      <c r="L149" s="12" t="inlineStr">
        <is>
          <t>y</t>
        </is>
      </c>
      <c r="M149" s="12" t="n">
        <v>137</v>
      </c>
      <c r="N149" s="12" t="n">
        <v>0</v>
      </c>
      <c r="O149" s="12" t="n">
        <v>0</v>
      </c>
    </row>
    <row r="150" ht="15.75" customHeight="1" s="11">
      <c r="A150" s="12" t="inlineStr">
        <is>
          <t>Paths of Glory</t>
        </is>
      </c>
      <c r="B150" s="12" t="inlineStr">
        <is>
          <t>card_149</t>
        </is>
      </c>
      <c r="C150" s="12" t="inlineStr">
        <is>
          <t>Stanley Kubrick</t>
        </is>
      </c>
      <c r="D150" s="12" t="n">
        <v>1957</v>
      </c>
      <c r="E150" s="18" t="n">
        <v>4.4</v>
      </c>
      <c r="F150" s="18" t="n">
        <v>85</v>
      </c>
      <c r="G150" s="12" t="n"/>
      <c r="H150" s="16">
        <f>ROUND((E150/5*100+F150)/2,0)</f>
        <v/>
      </c>
      <c r="I150" s="19" t="n">
        <v>3000000</v>
      </c>
      <c r="J150" s="12" t="inlineStr">
        <is>
          <t>y</t>
        </is>
      </c>
      <c r="K150" s="19" t="n">
        <v>935000</v>
      </c>
      <c r="L150" s="12" t="inlineStr">
        <is>
          <t>n</t>
        </is>
      </c>
      <c r="M150" s="12" t="n">
        <v>88</v>
      </c>
      <c r="N150" s="12" t="n">
        <v>0</v>
      </c>
      <c r="O150" s="12" t="n">
        <v>1</v>
      </c>
    </row>
    <row r="151" ht="15.75" customHeight="1" s="11">
      <c r="A151" s="12" t="inlineStr">
        <is>
          <t>Sing Street</t>
        </is>
      </c>
      <c r="B151" s="12" t="inlineStr">
        <is>
          <t>card_150</t>
        </is>
      </c>
      <c r="C151" s="12" t="inlineStr">
        <is>
          <t>John Carney</t>
        </is>
      </c>
      <c r="D151" s="12" t="n">
        <v>2016</v>
      </c>
      <c r="E151" s="18" t="n">
        <v>4.2</v>
      </c>
      <c r="F151" s="18" t="n">
        <v>85</v>
      </c>
      <c r="G151" s="12" t="n"/>
      <c r="H151" s="16">
        <f>ROUND((E151/5*100+F151)/2,0)</f>
        <v/>
      </c>
      <c r="I151" s="19" t="n">
        <v>10900000</v>
      </c>
      <c r="J151" s="12" t="inlineStr">
        <is>
          <t>n</t>
        </is>
      </c>
      <c r="K151" s="19" t="n">
        <v>3700000</v>
      </c>
      <c r="L151" s="12" t="inlineStr">
        <is>
          <t>y</t>
        </is>
      </c>
      <c r="M151" s="12" t="n">
        <v>106</v>
      </c>
      <c r="N151" s="12" t="n">
        <v>0</v>
      </c>
      <c r="O151" s="12" t="n">
        <v>0</v>
      </c>
    </row>
    <row r="152" ht="15.75" customHeight="1" s="11">
      <c r="A152" s="12" t="inlineStr">
        <is>
          <t>Alita: Battle Angel</t>
        </is>
      </c>
      <c r="B152" s="12" t="inlineStr">
        <is>
          <t>card_151</t>
        </is>
      </c>
      <c r="C152" s="12" t="inlineStr">
        <is>
          <t>Robert Rodriguez</t>
        </is>
      </c>
      <c r="D152" s="12" t="n">
        <v>2019</v>
      </c>
      <c r="E152" s="18" t="n">
        <v>3.5</v>
      </c>
      <c r="F152" s="18" t="n">
        <v>85</v>
      </c>
      <c r="G152" s="12" t="n"/>
      <c r="H152" s="16">
        <f>ROUND((E152/5*100+F152)/2,0)</f>
        <v/>
      </c>
      <c r="I152" s="19" t="n">
        <v>404900000</v>
      </c>
      <c r="J152" s="12" t="inlineStr">
        <is>
          <t>n</t>
        </is>
      </c>
      <c r="K152" s="19" t="n">
        <v>170000000</v>
      </c>
      <c r="L152" s="12" t="inlineStr">
        <is>
          <t>n</t>
        </is>
      </c>
      <c r="M152" s="12" t="n">
        <v>122</v>
      </c>
      <c r="N152" s="12" t="n">
        <v>0</v>
      </c>
      <c r="O152" s="12" t="n">
        <v>0</v>
      </c>
    </row>
    <row r="153" ht="15.75" customHeight="1" s="11">
      <c r="A153" s="12" t="inlineStr">
        <is>
          <t>My Neighbor Totoro</t>
        </is>
      </c>
      <c r="B153" s="12" t="inlineStr">
        <is>
          <t>card_152</t>
        </is>
      </c>
      <c r="C153" s="12" t="inlineStr">
        <is>
          <t>Hayao Miyazaki</t>
        </is>
      </c>
      <c r="D153" s="12" t="n">
        <v>1988</v>
      </c>
      <c r="E153" s="18" t="n">
        <v>4.4</v>
      </c>
      <c r="F153" s="18" t="n">
        <v>85</v>
      </c>
      <c r="G153" s="12" t="n"/>
      <c r="H153" s="16">
        <f>ROUND((E153/5*100+F153)/2,0)</f>
        <v/>
      </c>
      <c r="I153" s="19" t="n">
        <v>41900000</v>
      </c>
      <c r="J153" s="12" t="inlineStr">
        <is>
          <t>y</t>
        </is>
      </c>
      <c r="K153" s="19" t="n">
        <v>4000000</v>
      </c>
      <c r="L153" s="12" t="inlineStr">
        <is>
          <t>y</t>
        </is>
      </c>
      <c r="M153" s="12" t="n">
        <v>86</v>
      </c>
      <c r="N153" s="12" t="n">
        <v>0</v>
      </c>
      <c r="O153" s="12" t="n">
        <v>2</v>
      </c>
    </row>
    <row r="154" ht="15.75" customHeight="1" s="11">
      <c r="A154" s="12" t="inlineStr">
        <is>
          <t>La Dolce Vita</t>
        </is>
      </c>
      <c r="B154" s="12" t="inlineStr">
        <is>
          <t>card_153</t>
        </is>
      </c>
      <c r="C154" s="12" t="inlineStr">
        <is>
          <t>Federico Fellini</t>
        </is>
      </c>
      <c r="D154" s="12" t="n">
        <v>1960</v>
      </c>
      <c r="E154" s="18" t="n">
        <v>4.3</v>
      </c>
      <c r="F154" s="18" t="n">
        <v>84</v>
      </c>
      <c r="G154" s="12" t="n"/>
      <c r="H154" s="16">
        <f>ROUND((E154/5*100+F154)/2,0)</f>
        <v/>
      </c>
      <c r="I154" s="19" t="n">
        <v>20000000</v>
      </c>
      <c r="J154" s="12" t="inlineStr">
        <is>
          <t>y</t>
        </is>
      </c>
      <c r="K154" s="19" t="n">
        <v>6000000</v>
      </c>
      <c r="L154" s="12" t="inlineStr">
        <is>
          <t>y</t>
        </is>
      </c>
      <c r="M154" s="12" t="n">
        <v>174</v>
      </c>
      <c r="N154" s="12" t="n">
        <v>1</v>
      </c>
      <c r="O154" s="12" t="n">
        <v>4</v>
      </c>
    </row>
    <row r="155" ht="15.75" customHeight="1" s="11">
      <c r="A155" s="12" t="inlineStr">
        <is>
          <t>3 Idiots</t>
        </is>
      </c>
      <c r="B155" s="12" t="inlineStr">
        <is>
          <t>card_154</t>
        </is>
      </c>
      <c r="C155" s="12" t="inlineStr">
        <is>
          <t>Rajkumar Hirani</t>
        </is>
      </c>
      <c r="D155" s="12" t="n">
        <v>2009</v>
      </c>
      <c r="E155" s="18" t="n">
        <v>4.1</v>
      </c>
      <c r="F155" s="18" t="n">
        <v>84</v>
      </c>
      <c r="G155" s="12" t="n"/>
      <c r="H155" s="16">
        <f>ROUND((E155/5*100+F155)/2,0)</f>
        <v/>
      </c>
      <c r="I155" s="19" t="n">
        <v>99000000</v>
      </c>
      <c r="J155" s="12" t="inlineStr">
        <is>
          <t>y</t>
        </is>
      </c>
      <c r="K155" s="19" t="n">
        <v>12000000</v>
      </c>
      <c r="L155" s="12" t="inlineStr">
        <is>
          <t>y</t>
        </is>
      </c>
      <c r="M155" s="12" t="n">
        <v>170</v>
      </c>
      <c r="N155" s="12" t="n">
        <v>0</v>
      </c>
      <c r="O155" s="12" t="n">
        <v>0</v>
      </c>
    </row>
    <row r="156" ht="15.75" customHeight="1" s="11">
      <c r="A156" s="12" t="inlineStr">
        <is>
          <t>The Intouchables</t>
        </is>
      </c>
      <c r="B156" s="12" t="inlineStr">
        <is>
          <t>card_155</t>
        </is>
      </c>
      <c r="C156" s="12" t="inlineStr">
        <is>
          <t>Olivier Nakache, Éric Toledano</t>
        </is>
      </c>
      <c r="D156" s="12" t="n">
        <v>2011</v>
      </c>
      <c r="E156" s="18" t="n">
        <v>4.2</v>
      </c>
      <c r="F156" s="18" t="n">
        <v>84</v>
      </c>
      <c r="G156" s="12" t="n"/>
      <c r="H156" s="16">
        <f>ROUND((E156/5*100+F156)/2,0)</f>
        <v/>
      </c>
      <c r="I156" s="19" t="n">
        <v>426600000</v>
      </c>
      <c r="J156" s="12" t="inlineStr">
        <is>
          <t>n</t>
        </is>
      </c>
      <c r="K156" s="19" t="n">
        <v>12700000</v>
      </c>
      <c r="L156" s="12" t="inlineStr">
        <is>
          <t>n</t>
        </is>
      </c>
      <c r="M156" s="12" t="n">
        <v>112</v>
      </c>
      <c r="N156" s="12" t="n">
        <v>0</v>
      </c>
      <c r="O156" s="12" t="n">
        <v>0</v>
      </c>
    </row>
    <row r="157" ht="15.75" customHeight="1" s="11">
      <c r="A157" s="12" t="inlineStr">
        <is>
          <t>To Kill a Mockingbird</t>
        </is>
      </c>
      <c r="B157" s="12" t="inlineStr">
        <is>
          <t>card_156</t>
        </is>
      </c>
      <c r="C157" s="12" t="inlineStr">
        <is>
          <t>Robert Mulligan</t>
        </is>
      </c>
      <c r="D157" s="12" t="n">
        <v>1962</v>
      </c>
      <c r="E157" s="18" t="n">
        <v>4.3</v>
      </c>
      <c r="F157" s="18" t="n">
        <v>84</v>
      </c>
      <c r="G157" s="12" t="n"/>
      <c r="H157" s="16">
        <f>ROUND((E157/5*100+F157)/2,0)</f>
        <v/>
      </c>
      <c r="I157" s="19" t="n">
        <v>20000000</v>
      </c>
      <c r="J157" s="12" t="inlineStr">
        <is>
          <t>y</t>
        </is>
      </c>
      <c r="K157" s="19" t="n">
        <v>2000000</v>
      </c>
      <c r="L157" s="12" t="inlineStr">
        <is>
          <t>n</t>
        </is>
      </c>
      <c r="M157" s="12" t="n">
        <v>129</v>
      </c>
      <c r="N157" s="12" t="n">
        <v>3</v>
      </c>
      <c r="O157" s="12" t="n">
        <v>0</v>
      </c>
    </row>
    <row r="158" ht="15.75" customHeight="1" s="11">
      <c r="A158" s="12" t="inlineStr">
        <is>
          <t>Baahubali 2: The Conclusion</t>
        </is>
      </c>
      <c r="B158" s="12" t="inlineStr">
        <is>
          <t>card_157</t>
        </is>
      </c>
      <c r="C158" s="12" t="inlineStr">
        <is>
          <t>S. S. Rajamouli</t>
        </is>
      </c>
      <c r="D158" s="12" t="n">
        <v>2017</v>
      </c>
      <c r="E158" s="18" t="n">
        <v>3.9</v>
      </c>
      <c r="F158" s="18" t="n">
        <v>84</v>
      </c>
      <c r="G158" s="12" t="n"/>
      <c r="H158" s="16">
        <f>ROUND((E158/5*100+F158)/2,0)</f>
        <v/>
      </c>
      <c r="I158" s="19" t="n">
        <v>262000000</v>
      </c>
      <c r="J158" s="12" t="inlineStr">
        <is>
          <t>y</t>
        </is>
      </c>
      <c r="K158" s="19" t="n">
        <v>36000000</v>
      </c>
      <c r="L158" s="12" t="inlineStr">
        <is>
          <t>y</t>
        </is>
      </c>
      <c r="M158" s="12" t="n">
        <v>167</v>
      </c>
      <c r="N158" s="12" t="n">
        <v>0</v>
      </c>
      <c r="O158" s="12" t="n">
        <v>0</v>
      </c>
    </row>
    <row r="159" ht="15.75" customHeight="1" s="11">
      <c r="A159" s="12" t="inlineStr">
        <is>
          <t>Network</t>
        </is>
      </c>
      <c r="B159" s="12" t="inlineStr">
        <is>
          <t>card_158</t>
        </is>
      </c>
      <c r="C159" s="12" t="inlineStr">
        <is>
          <t>Sidney Lumet</t>
        </is>
      </c>
      <c r="D159" s="12" t="n">
        <v>1976</v>
      </c>
      <c r="E159" s="18" t="n">
        <v>4.2</v>
      </c>
      <c r="F159" s="18" t="n">
        <v>84</v>
      </c>
      <c r="G159" s="12" t="n"/>
      <c r="H159" s="16">
        <f>ROUND((E159/5*100+F159)/2,0)</f>
        <v/>
      </c>
      <c r="I159" s="19" t="n">
        <v>23700000</v>
      </c>
      <c r="J159" s="12" t="inlineStr">
        <is>
          <t>y</t>
        </is>
      </c>
      <c r="K159" s="19" t="n">
        <v>3800000</v>
      </c>
      <c r="L159" s="12" t="inlineStr">
        <is>
          <t>n</t>
        </is>
      </c>
      <c r="M159" s="12" t="n">
        <v>121</v>
      </c>
      <c r="N159" s="12" t="n">
        <v>4</v>
      </c>
      <c r="O159" s="12" t="n">
        <v>0</v>
      </c>
    </row>
    <row r="160" ht="15.75" customHeight="1" s="11">
      <c r="A160" s="12" t="inlineStr">
        <is>
          <t>The Muppet Christmas Carol</t>
        </is>
      </c>
      <c r="B160" s="12" t="inlineStr">
        <is>
          <t>card_159</t>
        </is>
      </c>
      <c r="C160" s="12" t="inlineStr">
        <is>
          <t>Brian Henson</t>
        </is>
      </c>
      <c r="D160" s="12" t="n">
        <v>1992</v>
      </c>
      <c r="E160" s="18" t="n">
        <v>3.8</v>
      </c>
      <c r="F160" s="18" t="n">
        <v>84</v>
      </c>
      <c r="G160" s="12" t="n"/>
      <c r="H160" s="16">
        <f>ROUND((E160/5*100+F160)/2,0)</f>
        <v/>
      </c>
      <c r="I160" s="19" t="n">
        <v>27300000</v>
      </c>
      <c r="J160" s="12" t="inlineStr">
        <is>
          <t>y</t>
        </is>
      </c>
      <c r="K160" s="19" t="n">
        <v>12000000</v>
      </c>
      <c r="L160" s="12" t="inlineStr">
        <is>
          <t>n</t>
        </is>
      </c>
      <c r="M160" s="12" t="n">
        <v>85</v>
      </c>
      <c r="N160" s="12" t="n">
        <v>0</v>
      </c>
      <c r="O160" s="12" t="n">
        <v>0</v>
      </c>
    </row>
    <row r="161" ht="15.75" customHeight="1" s="11">
      <c r="A161" s="12" t="inlineStr">
        <is>
          <t>Spider-Man: No Way Home</t>
        </is>
      </c>
      <c r="B161" s="12" t="inlineStr">
        <is>
          <t>card_160</t>
        </is>
      </c>
      <c r="C161" s="12" t="inlineStr">
        <is>
          <t>Jon Watts</t>
        </is>
      </c>
      <c r="D161" s="12" t="n">
        <v>2021</v>
      </c>
      <c r="E161" s="18" t="n">
        <v>4</v>
      </c>
      <c r="F161" s="18" t="n">
        <v>84</v>
      </c>
      <c r="G161" s="12" t="n"/>
      <c r="H161" s="16">
        <f>ROUND((E161/5*100+F161)/2,0)</f>
        <v/>
      </c>
      <c r="I161" s="19" t="n">
        <v>1921847111</v>
      </c>
      <c r="J161" s="12" t="inlineStr">
        <is>
          <t>n</t>
        </is>
      </c>
      <c r="K161" s="19" t="n">
        <v>200000000</v>
      </c>
      <c r="L161" s="12" t="inlineStr">
        <is>
          <t>n</t>
        </is>
      </c>
      <c r="M161" s="12" t="n">
        <v>148</v>
      </c>
      <c r="N161" s="12" t="n">
        <v>0</v>
      </c>
      <c r="O161" s="12" t="n">
        <v>0</v>
      </c>
    </row>
    <row r="162" ht="15.75" customHeight="1" s="11">
      <c r="A162" s="12" t="inlineStr">
        <is>
          <t>Cool Hand Luke</t>
        </is>
      </c>
      <c r="B162" s="12" t="inlineStr">
        <is>
          <t>card_161</t>
        </is>
      </c>
      <c r="C162" s="12" t="inlineStr">
        <is>
          <t>Stuart Rosenberg</t>
        </is>
      </c>
      <c r="D162" s="12" t="n">
        <v>1967</v>
      </c>
      <c r="E162" s="18" t="n">
        <v>4</v>
      </c>
      <c r="F162" s="18" t="n">
        <v>84</v>
      </c>
      <c r="G162" s="12" t="n"/>
      <c r="H162" s="16">
        <f>ROUND((E162/5*100+F162)/2,0)</f>
        <v/>
      </c>
      <c r="I162" s="19" t="n">
        <v>16217773</v>
      </c>
      <c r="J162" s="12" t="inlineStr">
        <is>
          <t>y</t>
        </is>
      </c>
      <c r="K162" s="19" t="n">
        <v>3200000</v>
      </c>
      <c r="L162" s="12" t="inlineStr">
        <is>
          <t>y</t>
        </is>
      </c>
      <c r="M162" s="12" t="n">
        <v>127</v>
      </c>
      <c r="N162" s="12" t="n">
        <v>1</v>
      </c>
      <c r="O162" s="12" t="n">
        <v>0</v>
      </c>
    </row>
    <row r="163" ht="15.75" customHeight="1" s="11">
      <c r="A163" s="12" t="inlineStr">
        <is>
          <t>Castle in the Sky</t>
        </is>
      </c>
      <c r="B163" s="12" t="inlineStr">
        <is>
          <t>card_162</t>
        </is>
      </c>
      <c r="C163" s="12" t="inlineStr">
        <is>
          <t>Hayao Miyazaki</t>
        </is>
      </c>
      <c r="D163" s="12" t="n">
        <v>1986</v>
      </c>
      <c r="E163" s="18" t="n">
        <v>4.2</v>
      </c>
      <c r="F163" s="18" t="n">
        <v>84</v>
      </c>
      <c r="G163" s="12" t="n"/>
      <c r="H163" s="16">
        <f>ROUND((E163/5*100+F163)/2,0)</f>
        <v/>
      </c>
      <c r="I163" s="19" t="n">
        <v>6900000</v>
      </c>
      <c r="J163" s="12" t="inlineStr">
        <is>
          <t>y</t>
        </is>
      </c>
      <c r="K163" s="19" t="n">
        <v>3000000</v>
      </c>
      <c r="L163" s="12" t="inlineStr">
        <is>
          <t>y</t>
        </is>
      </c>
      <c r="M163" s="12" t="n">
        <v>124</v>
      </c>
      <c r="N163" s="12" t="n">
        <v>0</v>
      </c>
      <c r="O163" s="12" t="n">
        <v>1</v>
      </c>
    </row>
    <row r="164" ht="15.75" customHeight="1" s="11">
      <c r="A164" s="12" t="inlineStr">
        <is>
          <t>The Grand Budapest Hotel</t>
        </is>
      </c>
      <c r="B164" s="12" t="inlineStr">
        <is>
          <t>card_163</t>
        </is>
      </c>
      <c r="C164" s="12" t="inlineStr">
        <is>
          <t>Wes Anderson</t>
        </is>
      </c>
      <c r="D164" s="12" t="n">
        <v>2014</v>
      </c>
      <c r="E164" s="18" t="n">
        <v>4.4</v>
      </c>
      <c r="F164" s="18" t="n">
        <v>84</v>
      </c>
      <c r="G164" s="12" t="n"/>
      <c r="H164" s="16">
        <f>ROUND((E164/5*100+F164)/2,0)</f>
        <v/>
      </c>
      <c r="I164" s="19" t="n">
        <v>174800000</v>
      </c>
      <c r="J164" s="12" t="inlineStr">
        <is>
          <t>n</t>
        </is>
      </c>
      <c r="K164" s="19" t="n">
        <v>25000000</v>
      </c>
      <c r="L164" s="12" t="inlineStr">
        <is>
          <t>n</t>
        </is>
      </c>
      <c r="M164" s="12" t="n">
        <v>99</v>
      </c>
      <c r="N164" s="12" t="n">
        <v>4</v>
      </c>
      <c r="O164" s="12" t="n">
        <v>1</v>
      </c>
    </row>
    <row r="165" ht="15.75" customHeight="1" s="11">
      <c r="A165" s="12" t="inlineStr">
        <is>
          <t>Perfect Blue</t>
        </is>
      </c>
      <c r="B165" s="12" t="inlineStr">
        <is>
          <t>card_164</t>
        </is>
      </c>
      <c r="C165" s="12" t="inlineStr">
        <is>
          <t>Satoshi Kon</t>
        </is>
      </c>
      <c r="D165" s="12" t="n">
        <v>1997</v>
      </c>
      <c r="E165" s="18" t="n">
        <v>4.3</v>
      </c>
      <c r="F165" s="18" t="n">
        <v>84</v>
      </c>
      <c r="G165" s="12" t="n"/>
      <c r="H165" s="16">
        <f>ROUND((E165/5*100+F165)/2,0)</f>
        <v/>
      </c>
      <c r="I165" s="19" t="n">
        <v>3000000</v>
      </c>
      <c r="J165" s="12" t="inlineStr">
        <is>
          <t>y</t>
        </is>
      </c>
      <c r="K165" s="19" t="n">
        <v>830442</v>
      </c>
      <c r="L165" s="12" t="inlineStr">
        <is>
          <t>y</t>
        </is>
      </c>
      <c r="M165" s="12" t="n">
        <v>81</v>
      </c>
      <c r="N165" s="12" t="n">
        <v>0</v>
      </c>
      <c r="O165" s="12" t="n">
        <v>0</v>
      </c>
    </row>
    <row r="166" ht="15.75" customHeight="1" s="11">
      <c r="A166" s="12" t="inlineStr">
        <is>
          <t>North by Northwest</t>
        </is>
      </c>
      <c r="B166" s="12" t="inlineStr">
        <is>
          <t>card_165</t>
        </is>
      </c>
      <c r="C166" s="12" t="inlineStr">
        <is>
          <t>Alfred Hitchcock</t>
        </is>
      </c>
      <c r="D166" s="12" t="n">
        <v>1959</v>
      </c>
      <c r="E166" s="18" t="n">
        <v>4.3</v>
      </c>
      <c r="F166" s="18" t="n">
        <v>84</v>
      </c>
      <c r="G166" s="12" t="n"/>
      <c r="H166" s="16">
        <f>ROUND((E166/5*100+F166)/2,0)</f>
        <v/>
      </c>
      <c r="I166" s="19" t="n">
        <v>13275000</v>
      </c>
      <c r="J166" s="12" t="inlineStr">
        <is>
          <t>y</t>
        </is>
      </c>
      <c r="K166" s="19" t="n">
        <v>4300000</v>
      </c>
      <c r="L166" s="12" t="inlineStr">
        <is>
          <t>n</t>
        </is>
      </c>
      <c r="M166" s="12" t="n">
        <v>136</v>
      </c>
      <c r="N166" s="12" t="n">
        <v>0</v>
      </c>
      <c r="O166" s="12" t="n">
        <v>0</v>
      </c>
    </row>
    <row r="167" ht="15.75" customHeight="1" s="11">
      <c r="A167" s="12" t="inlineStr">
        <is>
          <t>Nausicaä of the Valley of the Wind</t>
        </is>
      </c>
      <c r="B167" s="12" t="inlineStr">
        <is>
          <t>card_166</t>
        </is>
      </c>
      <c r="C167" s="12" t="inlineStr">
        <is>
          <t>Hayao Miyazaki</t>
        </is>
      </c>
      <c r="D167" s="12" t="n">
        <v>1984</v>
      </c>
      <c r="E167" s="18" t="n">
        <v>4.1</v>
      </c>
      <c r="F167" s="18" t="n">
        <v>84</v>
      </c>
      <c r="G167" s="12" t="n"/>
      <c r="H167" s="16">
        <f>ROUND((E167/5*100+F167)/2,0)</f>
        <v/>
      </c>
      <c r="I167" s="19" t="n">
        <v>6230000</v>
      </c>
      <c r="J167" s="12" t="inlineStr">
        <is>
          <t>y</t>
        </is>
      </c>
      <c r="K167" s="19" t="n">
        <v>1000000</v>
      </c>
      <c r="L167" s="12" t="inlineStr">
        <is>
          <t>y</t>
        </is>
      </c>
      <c r="M167" s="12" t="n">
        <v>117</v>
      </c>
      <c r="N167" s="12" t="n">
        <v>0</v>
      </c>
      <c r="O167" s="12" t="n">
        <v>1</v>
      </c>
    </row>
    <row r="168" ht="15.75" customHeight="1" s="11">
      <c r="A168" s="12" t="inlineStr">
        <is>
          <t>Weathering with You</t>
        </is>
      </c>
      <c r="B168" s="12" t="inlineStr">
        <is>
          <t>card_167</t>
        </is>
      </c>
      <c r="C168" s="12" t="inlineStr">
        <is>
          <t>Makoto Shinkai</t>
        </is>
      </c>
      <c r="D168" s="12" t="n">
        <v>2019</v>
      </c>
      <c r="E168" s="18" t="n">
        <v>3.9</v>
      </c>
      <c r="F168" s="18" t="n">
        <v>84</v>
      </c>
      <c r="G168" s="12" t="n"/>
      <c r="H168" s="16">
        <f>ROUND((E168/5*100+F168)/2,0)</f>
        <v/>
      </c>
      <c r="I168" s="19" t="n">
        <v>193800000</v>
      </c>
      <c r="J168" s="12" t="inlineStr">
        <is>
          <t>n</t>
        </is>
      </c>
      <c r="K168" s="19" t="n">
        <v>18300000</v>
      </c>
      <c r="L168" s="12" t="inlineStr">
        <is>
          <t>y</t>
        </is>
      </c>
      <c r="M168" s="12" t="n">
        <v>112</v>
      </c>
      <c r="N168" s="12" t="n">
        <v>0</v>
      </c>
      <c r="O168" s="12" t="n">
        <v>0</v>
      </c>
    </row>
    <row r="169" ht="15.75" customHeight="1" s="11">
      <c r="A169" s="12" t="inlineStr">
        <is>
          <t>Million Dollar Baby</t>
        </is>
      </c>
      <c r="B169" s="12" t="inlineStr">
        <is>
          <t>card_168</t>
        </is>
      </c>
      <c r="C169" s="12" t="inlineStr">
        <is>
          <t>Clint Eastwood</t>
        </is>
      </c>
      <c r="D169" s="12" t="n">
        <v>2004</v>
      </c>
      <c r="E169" s="18" t="n">
        <v>4</v>
      </c>
      <c r="F169" s="18" t="n">
        <v>84</v>
      </c>
      <c r="G169" s="12" t="n"/>
      <c r="H169" s="16">
        <f>ROUND((E169/5*100+F169)/2,0)</f>
        <v/>
      </c>
      <c r="I169" s="19" t="n">
        <v>216800000</v>
      </c>
      <c r="J169" s="12" t="inlineStr">
        <is>
          <t>n</t>
        </is>
      </c>
      <c r="K169" s="19" t="n">
        <v>30000000</v>
      </c>
      <c r="L169" s="12" t="inlineStr">
        <is>
          <t>n</t>
        </is>
      </c>
      <c r="M169" s="12" t="n">
        <v>132</v>
      </c>
      <c r="N169" s="12" t="n">
        <v>4</v>
      </c>
      <c r="O169" s="12" t="n">
        <v>4</v>
      </c>
    </row>
    <row r="170" ht="15.75" customHeight="1" s="11">
      <c r="A170" s="12" t="inlineStr">
        <is>
          <t>Groundhog Day</t>
        </is>
      </c>
      <c r="B170" s="12" t="inlineStr">
        <is>
          <t>card_169</t>
        </is>
      </c>
      <c r="C170" s="12" t="inlineStr">
        <is>
          <t>Harold Ramis</t>
        </is>
      </c>
      <c r="D170" s="12" t="n">
        <v>1993</v>
      </c>
      <c r="E170" s="18" t="n">
        <v>4.2</v>
      </c>
      <c r="F170" s="18" t="n">
        <v>84</v>
      </c>
      <c r="G170" s="12" t="n"/>
      <c r="H170" s="16">
        <f>ROUND((E170/5*100+F170)/2,0)</f>
        <v/>
      </c>
      <c r="I170" s="19" t="n">
        <v>70906973</v>
      </c>
      <c r="J170" s="12" t="inlineStr">
        <is>
          <t>y</t>
        </is>
      </c>
      <c r="K170" s="19" t="n">
        <v>14600000</v>
      </c>
      <c r="L170" s="12" t="inlineStr">
        <is>
          <t>n</t>
        </is>
      </c>
      <c r="M170" s="12" t="n">
        <v>101</v>
      </c>
      <c r="N170" s="12" t="n">
        <v>0</v>
      </c>
      <c r="O170" s="12" t="n">
        <v>0</v>
      </c>
    </row>
    <row r="171" ht="15.75" customHeight="1" s="11">
      <c r="A171" s="12" t="inlineStr">
        <is>
          <t>Fargo</t>
        </is>
      </c>
      <c r="B171" s="12" t="inlineStr">
        <is>
          <t>card_170</t>
        </is>
      </c>
      <c r="C171" s="12" t="inlineStr">
        <is>
          <t>Joel Coen</t>
        </is>
      </c>
      <c r="D171" s="12" t="n">
        <v>1996</v>
      </c>
      <c r="E171" s="18" t="n">
        <v>4.2</v>
      </c>
      <c r="F171" s="18" t="n">
        <v>84</v>
      </c>
      <c r="G171" s="12" t="n"/>
      <c r="H171" s="16">
        <f>ROUND((E171/5*100+F171)/2,0)</f>
        <v/>
      </c>
      <c r="I171" s="19" t="n">
        <v>60600000</v>
      </c>
      <c r="J171" s="12" t="inlineStr">
        <is>
          <t>n</t>
        </is>
      </c>
      <c r="K171" s="19" t="n">
        <v>7000000</v>
      </c>
      <c r="L171" s="12" t="inlineStr">
        <is>
          <t>n</t>
        </is>
      </c>
      <c r="M171" s="12" t="n">
        <v>98</v>
      </c>
      <c r="N171" s="12" t="n">
        <v>2</v>
      </c>
      <c r="O171" s="12" t="n">
        <v>3</v>
      </c>
    </row>
    <row r="172" ht="15.75" customHeight="1" s="11">
      <c r="A172" s="12" t="inlineStr">
        <is>
          <t>The Usual Suspects</t>
        </is>
      </c>
      <c r="B172" s="12" t="inlineStr">
        <is>
          <t>card_171</t>
        </is>
      </c>
      <c r="C172" s="12" t="inlineStr">
        <is>
          <t>Bryan Singer</t>
        </is>
      </c>
      <c r="D172" s="12" t="n">
        <v>1995</v>
      </c>
      <c r="E172" s="18" t="n">
        <v>4.2</v>
      </c>
      <c r="F172" s="18" t="n">
        <v>84</v>
      </c>
      <c r="G172" s="12" t="n"/>
      <c r="H172" s="16">
        <f>ROUND((E172/5*100+F172)/2,0)</f>
        <v/>
      </c>
      <c r="I172" s="19" t="n">
        <v>23300000</v>
      </c>
      <c r="J172" s="12" t="inlineStr">
        <is>
          <t>n</t>
        </is>
      </c>
      <c r="K172" s="19" t="n">
        <v>6000000</v>
      </c>
      <c r="L172" s="12" t="inlineStr">
        <is>
          <t>n</t>
        </is>
      </c>
      <c r="M172" s="12" t="n">
        <v>106</v>
      </c>
      <c r="N172" s="12" t="n">
        <v>2</v>
      </c>
      <c r="O172" s="12" t="n">
        <v>0</v>
      </c>
    </row>
    <row r="173" ht="15.75" customHeight="1" s="11">
      <c r="A173" s="12" t="inlineStr">
        <is>
          <t>Halloween</t>
        </is>
      </c>
      <c r="B173" s="12" t="inlineStr">
        <is>
          <t>card_172</t>
        </is>
      </c>
      <c r="C173" s="12" t="inlineStr">
        <is>
          <t>John Carpenter</t>
        </is>
      </c>
      <c r="D173" s="12" t="n">
        <v>1978</v>
      </c>
      <c r="E173" s="18" t="n">
        <v>4.1</v>
      </c>
      <c r="F173" s="18" t="n">
        <v>84</v>
      </c>
      <c r="G173" s="12" t="n"/>
      <c r="H173" s="16">
        <f>ROUND((E173/5*100+F173)/2,0)</f>
        <v/>
      </c>
      <c r="I173" s="19" t="n">
        <v>70000000</v>
      </c>
      <c r="J173" s="12" t="inlineStr">
        <is>
          <t>y</t>
        </is>
      </c>
      <c r="K173" s="19" t="n">
        <v>300000</v>
      </c>
      <c r="L173" s="12" t="inlineStr">
        <is>
          <t>n</t>
        </is>
      </c>
      <c r="M173" s="12" t="n">
        <v>91</v>
      </c>
      <c r="N173" s="12" t="n">
        <v>0</v>
      </c>
      <c r="O173" s="12" t="n">
        <v>0</v>
      </c>
    </row>
    <row r="174" ht="15.75" customHeight="1" s="11">
      <c r="A174" s="12" t="inlineStr">
        <is>
          <t>The Straight Story</t>
        </is>
      </c>
      <c r="B174" s="12" t="inlineStr">
        <is>
          <t>card_173</t>
        </is>
      </c>
      <c r="C174" s="12" t="inlineStr">
        <is>
          <t>David Lynch</t>
        </is>
      </c>
      <c r="D174" s="12" t="n">
        <v>1999</v>
      </c>
      <c r="E174" s="18" t="n">
        <v>4.2</v>
      </c>
      <c r="F174" s="18" t="n">
        <v>84</v>
      </c>
      <c r="G174" s="12" t="n"/>
      <c r="H174" s="16">
        <f>ROUND((E174/5*100+F174)/2,0)</f>
        <v/>
      </c>
      <c r="I174" s="19" t="n">
        <v>9100000</v>
      </c>
      <c r="J174" s="12" t="inlineStr">
        <is>
          <t>y</t>
        </is>
      </c>
      <c r="K174" s="19" t="n">
        <v>10000000</v>
      </c>
      <c r="L174" s="12" t="inlineStr">
        <is>
          <t>y</t>
        </is>
      </c>
      <c r="M174" s="12" t="n">
        <v>112</v>
      </c>
      <c r="N174" s="12" t="n">
        <v>0</v>
      </c>
      <c r="O174" s="12" t="n">
        <v>0</v>
      </c>
    </row>
    <row r="175" ht="15.75" customHeight="1" s="11">
      <c r="A175" s="12" t="inlineStr">
        <is>
          <t>Magnolia</t>
        </is>
      </c>
      <c r="B175" s="12" t="inlineStr">
        <is>
          <t>card_174</t>
        </is>
      </c>
      <c r="C175" s="12" t="inlineStr">
        <is>
          <t>Paul Thomas Anderson</t>
        </is>
      </c>
      <c r="D175" s="12" t="n">
        <v>1999</v>
      </c>
      <c r="E175" s="18" t="n">
        <v>4.3</v>
      </c>
      <c r="F175" s="18" t="n">
        <v>84</v>
      </c>
      <c r="G175" s="12" t="n"/>
      <c r="H175" s="16">
        <f>ROUND((E175/5*100+F175)/2,0)</f>
        <v/>
      </c>
      <c r="I175" s="19" t="n">
        <v>30000000</v>
      </c>
      <c r="J175" s="12" t="inlineStr">
        <is>
          <t>y</t>
        </is>
      </c>
      <c r="K175" s="19" t="n">
        <v>37000000</v>
      </c>
      <c r="L175" s="12" t="inlineStr">
        <is>
          <t>n</t>
        </is>
      </c>
      <c r="M175" s="12" t="n">
        <v>188</v>
      </c>
      <c r="N175" s="12" t="n">
        <v>0</v>
      </c>
      <c r="O175" s="12" t="n">
        <v>0</v>
      </c>
    </row>
    <row r="176" ht="15.75" customHeight="1" s="11">
      <c r="A176" s="12" t="inlineStr">
        <is>
          <t>Harry Potter and the Prisoner of Azkaban</t>
        </is>
      </c>
      <c r="B176" s="12" t="inlineStr">
        <is>
          <t>card_175</t>
        </is>
      </c>
      <c r="C176" s="12" t="inlineStr">
        <is>
          <t>Alfonso Cuarón</t>
        </is>
      </c>
      <c r="D176" s="12" t="n">
        <v>2004</v>
      </c>
      <c r="E176" s="18" t="n">
        <v>3.9</v>
      </c>
      <c r="F176" s="18" t="n">
        <v>84</v>
      </c>
      <c r="G176" s="12" t="n"/>
      <c r="H176" s="16">
        <f>ROUND((E176/5*100+F176)/2,0)</f>
        <v/>
      </c>
      <c r="I176" s="19" t="n">
        <v>796700000</v>
      </c>
      <c r="J176" s="12" t="inlineStr">
        <is>
          <t>n</t>
        </is>
      </c>
      <c r="K176" s="19" t="n">
        <v>130000000</v>
      </c>
      <c r="L176" s="12" t="inlineStr">
        <is>
          <t>n</t>
        </is>
      </c>
      <c r="M176" s="12" t="n">
        <v>142</v>
      </c>
      <c r="N176" s="12" t="n">
        <v>0</v>
      </c>
      <c r="O176" s="12" t="n">
        <v>4</v>
      </c>
    </row>
    <row r="177" ht="15.75" customHeight="1" s="11">
      <c r="A177" s="12" t="inlineStr">
        <is>
          <t>Akira</t>
        </is>
      </c>
      <c r="B177" s="12" t="inlineStr">
        <is>
          <t>card_176</t>
        </is>
      </c>
      <c r="C177" s="12" t="inlineStr">
        <is>
          <t>Katsuhiro Otomo</t>
        </is>
      </c>
      <c r="D177" s="12" t="n">
        <v>1988</v>
      </c>
      <c r="E177" s="18" t="n">
        <v>4.2</v>
      </c>
      <c r="F177" s="18" t="n">
        <v>84</v>
      </c>
      <c r="G177" s="12" t="n"/>
      <c r="H177" s="16">
        <f>ROUND((E177/5*100+F177)/2,0)</f>
        <v/>
      </c>
      <c r="I177" s="19" t="n">
        <v>49000000</v>
      </c>
      <c r="J177" s="12" t="inlineStr">
        <is>
          <t>y</t>
        </is>
      </c>
      <c r="K177" s="19" t="n">
        <v>5700000</v>
      </c>
      <c r="L177" s="12" t="inlineStr">
        <is>
          <t>n</t>
        </is>
      </c>
      <c r="M177" s="12" t="n">
        <v>124</v>
      </c>
      <c r="N177" s="12" t="n">
        <v>0</v>
      </c>
      <c r="O177" s="12" t="n">
        <v>0</v>
      </c>
    </row>
    <row r="178" ht="15.75" customHeight="1" s="11">
      <c r="A178" s="12" t="inlineStr">
        <is>
          <t>Star Wars: Episode VI - Return of the Jedi</t>
        </is>
      </c>
      <c r="B178" s="12" t="inlineStr">
        <is>
          <t>card_177</t>
        </is>
      </c>
      <c r="C178" s="12" t="inlineStr">
        <is>
          <t>Richard Marquand</t>
        </is>
      </c>
      <c r="D178" s="12" t="n">
        <v>1983</v>
      </c>
      <c r="E178" s="18" t="n">
        <v>4.2</v>
      </c>
      <c r="F178" s="18" t="n">
        <v>84</v>
      </c>
      <c r="G178" s="12" t="n"/>
      <c r="H178" s="16">
        <f>ROUND((E178/5*100+F178)/2,0)</f>
        <v/>
      </c>
      <c r="I178" s="19" t="n">
        <v>475106177</v>
      </c>
      <c r="J178" s="12" t="inlineStr">
        <is>
          <t>n</t>
        </is>
      </c>
      <c r="K178" s="19" t="n">
        <v>32500000</v>
      </c>
      <c r="L178" s="12" t="inlineStr">
        <is>
          <t>y</t>
        </is>
      </c>
      <c r="M178" s="12" t="n">
        <v>131</v>
      </c>
      <c r="N178" s="12" t="n">
        <v>0</v>
      </c>
      <c r="O178" s="12" t="n">
        <v>0</v>
      </c>
    </row>
    <row r="179" ht="15.75" customHeight="1" s="11">
      <c r="A179" s="12" t="inlineStr">
        <is>
          <t>The Battle of Algiers</t>
        </is>
      </c>
      <c r="B179" s="12" t="inlineStr">
        <is>
          <t>card_178</t>
        </is>
      </c>
      <c r="C179" s="12" t="inlineStr">
        <is>
          <t>Gillo Pontecorvo</t>
        </is>
      </c>
      <c r="D179" s="12" t="n">
        <v>1966</v>
      </c>
      <c r="E179" s="18" t="n">
        <v>4.4</v>
      </c>
      <c r="F179" s="18" t="n">
        <v>84</v>
      </c>
      <c r="G179" s="12" t="n"/>
      <c r="H179" s="16">
        <f>ROUND((E179/5*100+F179)/2,0)</f>
        <v/>
      </c>
      <c r="I179" s="19" t="n">
        <v>1000000</v>
      </c>
      <c r="J179" s="12" t="inlineStr">
        <is>
          <t>y</t>
        </is>
      </c>
      <c r="K179" s="19" t="n">
        <v>806735</v>
      </c>
      <c r="L179" s="12" t="inlineStr">
        <is>
          <t>n</t>
        </is>
      </c>
      <c r="M179" s="12" t="n">
        <v>121</v>
      </c>
      <c r="N179" s="12" t="n">
        <v>0</v>
      </c>
      <c r="O179" s="12" t="n">
        <v>0</v>
      </c>
    </row>
    <row r="180" ht="15.75" customHeight="1" s="11">
      <c r="A180" s="12" t="inlineStr">
        <is>
          <t>On the Waterfront</t>
        </is>
      </c>
      <c r="B180" s="12" t="inlineStr">
        <is>
          <t>card_179</t>
        </is>
      </c>
      <c r="C180" s="12" t="inlineStr">
        <is>
          <t>Elia Kazan</t>
        </is>
      </c>
      <c r="D180" s="12" t="n">
        <v>1954</v>
      </c>
      <c r="E180" s="18" t="n">
        <v>4.2</v>
      </c>
      <c r="F180" s="18" t="n">
        <v>84</v>
      </c>
      <c r="G180" s="12" t="n"/>
      <c r="H180" s="16">
        <f>ROUND((E180/5*100+F180)/2,0)</f>
        <v/>
      </c>
      <c r="I180" s="19" t="n">
        <v>9600000</v>
      </c>
      <c r="J180" s="12" t="inlineStr">
        <is>
          <t>y</t>
        </is>
      </c>
      <c r="K180" s="19" t="n">
        <v>910000</v>
      </c>
      <c r="L180" s="12" t="inlineStr">
        <is>
          <t>y</t>
        </is>
      </c>
      <c r="M180" s="12" t="n">
        <v>108</v>
      </c>
      <c r="N180" s="12" t="n">
        <v>8</v>
      </c>
      <c r="O180" s="12" t="n">
        <v>2</v>
      </c>
    </row>
    <row r="181" ht="15.75" customHeight="1" s="11">
      <c r="A181" s="12" t="inlineStr">
        <is>
          <t>In the Mood for Love</t>
        </is>
      </c>
      <c r="B181" s="12" t="inlineStr">
        <is>
          <t>card_180</t>
        </is>
      </c>
      <c r="C181" s="12" t="inlineStr">
        <is>
          <t>Wong Kar-wai</t>
        </is>
      </c>
      <c r="D181" s="12" t="n">
        <v>2000</v>
      </c>
      <c r="E181" s="18" t="n">
        <v>4.5</v>
      </c>
      <c r="F181" s="18" t="n">
        <v>84</v>
      </c>
      <c r="G181" s="12" t="n"/>
      <c r="H181" s="16">
        <f>ROUND((E181/5*100+F181)/2,0)</f>
        <v/>
      </c>
      <c r="I181" s="19" t="n">
        <v>12900000</v>
      </c>
      <c r="J181" s="12" t="inlineStr">
        <is>
          <t>y</t>
        </is>
      </c>
      <c r="K181" s="19" t="n">
        <v>1500000</v>
      </c>
      <c r="L181" s="12" t="inlineStr">
        <is>
          <t>y</t>
        </is>
      </c>
      <c r="M181" s="12" t="n">
        <v>98</v>
      </c>
      <c r="N181" s="12" t="n">
        <v>0</v>
      </c>
      <c r="O181" s="12" t="n">
        <v>0</v>
      </c>
    </row>
    <row r="182" ht="15.75" customHeight="1" s="11">
      <c r="A182" s="12" t="inlineStr">
        <is>
          <t>Lawrence of Arabia</t>
        </is>
      </c>
      <c r="B182" s="12" t="inlineStr">
        <is>
          <t>card_181</t>
        </is>
      </c>
      <c r="C182" s="12" t="inlineStr">
        <is>
          <t>David Lean</t>
        </is>
      </c>
      <c r="D182" s="12" t="n">
        <v>1962</v>
      </c>
      <c r="E182" s="18" t="n">
        <v>4.5</v>
      </c>
      <c r="F182" s="18" t="n">
        <v>84</v>
      </c>
      <c r="G182" s="12" t="n"/>
      <c r="H182" s="16">
        <f>ROUND((E182/5*100+F182)/2,0)</f>
        <v/>
      </c>
      <c r="I182" s="19" t="n">
        <v>69995385</v>
      </c>
      <c r="J182" s="12" t="inlineStr">
        <is>
          <t>n</t>
        </is>
      </c>
      <c r="K182" s="19" t="n">
        <v>15000000</v>
      </c>
      <c r="L182" s="12" t="inlineStr">
        <is>
          <t>n</t>
        </is>
      </c>
      <c r="M182" s="12" t="n">
        <v>216</v>
      </c>
      <c r="N182" s="12" t="n">
        <v>7</v>
      </c>
      <c r="O182" s="12" t="n">
        <v>2</v>
      </c>
    </row>
    <row r="183" ht="15.75" customHeight="1" s="11">
      <c r="A183" s="10" t="inlineStr">
        <is>
          <t>Iron Man</t>
        </is>
      </c>
      <c r="B183" s="10" t="inlineStr">
        <is>
          <t>card_182</t>
        </is>
      </c>
      <c r="C183" s="10" t="inlineStr">
        <is>
          <t>Jon Favreau</t>
        </is>
      </c>
      <c r="D183" s="10" t="n">
        <v>2008</v>
      </c>
      <c r="E183" s="10" t="n">
        <v>3.81</v>
      </c>
      <c r="F183" s="10" t="n">
        <v>83</v>
      </c>
      <c r="H183" s="10">
        <f>ROUND((E183/5*100+F183)/2,0)</f>
        <v/>
      </c>
      <c r="I183" s="10" t="n">
        <v>584877827</v>
      </c>
      <c r="J183" s="10" t="inlineStr">
        <is>
          <t>n</t>
        </is>
      </c>
      <c r="K183" s="10" t="n">
        <v>186000000</v>
      </c>
      <c r="L183" s="10" t="inlineStr">
        <is>
          <t>n</t>
        </is>
      </c>
      <c r="M183" s="10" t="n">
        <v>126</v>
      </c>
      <c r="N183" s="10" t="n">
        <v>0</v>
      </c>
      <c r="O183" s="10" t="n">
        <v>0</v>
      </c>
    </row>
    <row r="184" ht="15.75" customHeight="1" s="11">
      <c r="A184" s="10" t="inlineStr">
        <is>
          <t>The Incredible Hulk</t>
        </is>
      </c>
      <c r="B184" s="10" t="inlineStr">
        <is>
          <t>card_183</t>
        </is>
      </c>
      <c r="C184" s="10" t="inlineStr">
        <is>
          <t>Louis Leterrier</t>
        </is>
      </c>
      <c r="D184" s="10" t="n">
        <v>2008</v>
      </c>
      <c r="E184" s="10" t="n">
        <v>2.58</v>
      </c>
      <c r="F184" s="10" t="n">
        <v>68</v>
      </c>
      <c r="H184" s="10">
        <f>ROUND((E184/5*100+F184)/2,0)</f>
        <v/>
      </c>
      <c r="I184" s="10" t="n">
        <v>265573859</v>
      </c>
      <c r="J184" s="10" t="inlineStr">
        <is>
          <t>n</t>
        </is>
      </c>
      <c r="K184" s="10" t="n">
        <v>137500000</v>
      </c>
      <c r="L184" s="10" t="inlineStr">
        <is>
          <t>n</t>
        </is>
      </c>
      <c r="M184" s="10" t="n">
        <v>112</v>
      </c>
      <c r="N184" s="10" t="n">
        <v>0</v>
      </c>
      <c r="O184" s="10" t="n">
        <v>0</v>
      </c>
    </row>
    <row r="185" ht="15.75" customHeight="1" s="11">
      <c r="A185" s="10" t="inlineStr">
        <is>
          <t>Iron Man 2</t>
        </is>
      </c>
      <c r="B185" s="10" t="inlineStr">
        <is>
          <t>card_184</t>
        </is>
      </c>
      <c r="C185" s="10" t="inlineStr">
        <is>
          <t>Jon Favreau</t>
        </is>
      </c>
      <c r="D185" s="10" t="n">
        <v>2010</v>
      </c>
      <c r="E185" s="10" t="n">
        <v>3.07</v>
      </c>
      <c r="F185" s="10" t="n">
        <v>65</v>
      </c>
      <c r="H185" s="10">
        <f>ROUND((E185/5*100+F185)/2,0)</f>
        <v/>
      </c>
      <c r="I185" s="10" t="n">
        <v>621156389</v>
      </c>
      <c r="J185" s="10" t="inlineStr">
        <is>
          <t>n</t>
        </is>
      </c>
      <c r="K185" s="10" t="n">
        <v>170000000</v>
      </c>
      <c r="L185" s="10" t="inlineStr">
        <is>
          <t>n</t>
        </is>
      </c>
      <c r="M185" s="10" t="n">
        <v>124</v>
      </c>
      <c r="N185" s="10" t="n">
        <v>0</v>
      </c>
      <c r="O185" s="10" t="n">
        <v>0</v>
      </c>
    </row>
    <row r="186" ht="15.75" customHeight="1" s="11">
      <c r="A186" s="10" t="inlineStr">
        <is>
          <t>Thor</t>
        </is>
      </c>
      <c r="B186" s="10" t="inlineStr">
        <is>
          <t>card_185</t>
        </is>
      </c>
      <c r="C186" s="10" t="inlineStr">
        <is>
          <t>Kenneth Branagh</t>
        </is>
      </c>
      <c r="D186" s="10" t="n">
        <v>2011</v>
      </c>
      <c r="E186" s="10" t="n">
        <v>2.89</v>
      </c>
      <c r="F186" s="10" t="n">
        <v>69</v>
      </c>
      <c r="H186" s="10">
        <f>ROUND((E186/5*100+F186)/2,0)</f>
        <v/>
      </c>
      <c r="I186" s="10" t="n">
        <v>449326618</v>
      </c>
      <c r="J186" s="10" t="inlineStr">
        <is>
          <t>n</t>
        </is>
      </c>
      <c r="K186" s="10" t="n">
        <v>150000000</v>
      </c>
      <c r="L186" s="10" t="inlineStr">
        <is>
          <t>n</t>
        </is>
      </c>
      <c r="M186" s="10" t="n">
        <v>115</v>
      </c>
      <c r="N186" s="10" t="n">
        <v>0</v>
      </c>
      <c r="O186" s="10" t="n">
        <v>1</v>
      </c>
    </row>
    <row r="187" ht="15.75" customHeight="1" s="11">
      <c r="A187" s="10" t="inlineStr">
        <is>
          <t>Captain America: The First Avenger</t>
        </is>
      </c>
      <c r="B187" s="10" t="inlineStr">
        <is>
          <t>card_186</t>
        </is>
      </c>
      <c r="C187" s="10" t="inlineStr">
        <is>
          <t>Joe Johnston</t>
        </is>
      </c>
      <c r="D187" s="10" t="n">
        <v>2011</v>
      </c>
      <c r="E187" s="10" t="n">
        <v>3.38</v>
      </c>
      <c r="F187" s="10" t="n">
        <v>72</v>
      </c>
      <c r="H187" s="10">
        <f>ROUND((E187/5*100+F187)/2,0)</f>
        <v/>
      </c>
      <c r="I187" s="10" t="n">
        <v>370569776</v>
      </c>
      <c r="J187" s="10" t="inlineStr">
        <is>
          <t>n</t>
        </is>
      </c>
      <c r="K187" s="10" t="n">
        <v>140000000</v>
      </c>
      <c r="L187" s="10" t="inlineStr">
        <is>
          <t>n</t>
        </is>
      </c>
      <c r="M187" s="10" t="n">
        <v>124</v>
      </c>
      <c r="N187" s="10" t="n">
        <v>0</v>
      </c>
      <c r="O187" s="10" t="n">
        <v>1</v>
      </c>
    </row>
    <row r="188" ht="15.75" customHeight="1" s="11">
      <c r="A188" s="10" t="inlineStr">
        <is>
          <t>The Avengers</t>
        </is>
      </c>
      <c r="B188" s="10" t="inlineStr">
        <is>
          <t>card_187</t>
        </is>
      </c>
      <c r="C188" s="10" t="inlineStr">
        <is>
          <t>Joss Whedon</t>
        </is>
      </c>
      <c r="D188" s="10" t="n">
        <v>2012</v>
      </c>
      <c r="E188" s="10" t="n">
        <v>3.77</v>
      </c>
      <c r="F188" s="10" t="n">
        <v>80</v>
      </c>
      <c r="H188" s="10">
        <f>ROUND((E188/5*100+F188)/2,0)</f>
        <v/>
      </c>
      <c r="I188" s="10" t="n">
        <v>1515100211</v>
      </c>
      <c r="J188" s="10" t="inlineStr">
        <is>
          <t>n</t>
        </is>
      </c>
      <c r="K188" s="10" t="n">
        <v>225000000</v>
      </c>
      <c r="L188" s="10" t="inlineStr">
        <is>
          <t>n</t>
        </is>
      </c>
      <c r="M188" s="10" t="n">
        <v>143</v>
      </c>
      <c r="N188" s="10" t="n">
        <v>0</v>
      </c>
      <c r="O188" s="10" t="n">
        <v>0</v>
      </c>
    </row>
    <row r="189" ht="15.75" customHeight="1" s="11">
      <c r="A189" s="10" t="inlineStr">
        <is>
          <t>Iron Man 3</t>
        </is>
      </c>
      <c r="B189" s="10" t="inlineStr">
        <is>
          <t>card_188</t>
        </is>
      </c>
      <c r="C189" s="10" t="inlineStr">
        <is>
          <t>Shane Black</t>
        </is>
      </c>
      <c r="D189" s="10" t="n">
        <v>2013</v>
      </c>
      <c r="E189" s="10" t="n">
        <v>3.14</v>
      </c>
      <c r="F189" s="10" t="n">
        <v>65</v>
      </c>
      <c r="H189" s="10">
        <f>ROUND((E189/5*100+F189)/2,0)</f>
        <v/>
      </c>
      <c r="I189" s="10" t="n">
        <v>1214630956</v>
      </c>
      <c r="J189" s="10" t="inlineStr">
        <is>
          <t>n</t>
        </is>
      </c>
      <c r="K189" s="10" t="n">
        <v>200000000</v>
      </c>
      <c r="L189" s="10" t="inlineStr">
        <is>
          <t>n</t>
        </is>
      </c>
      <c r="M189" s="10" t="n">
        <v>130</v>
      </c>
      <c r="N189" s="10" t="n">
        <v>0</v>
      </c>
      <c r="O189" s="10" t="n">
        <v>0</v>
      </c>
    </row>
    <row r="190" ht="15.75" customHeight="1" s="11">
      <c r="A190" s="10" t="inlineStr">
        <is>
          <t>Thor: The Dark World</t>
        </is>
      </c>
      <c r="B190" s="10" t="inlineStr">
        <is>
          <t>card_189</t>
        </is>
      </c>
      <c r="C190" s="10" t="inlineStr">
        <is>
          <t>Alan Taylor</t>
        </is>
      </c>
      <c r="D190" s="10" t="n">
        <v>2013</v>
      </c>
      <c r="E190" s="10" t="n">
        <v>2.33</v>
      </c>
      <c r="F190" s="10" t="n">
        <v>68</v>
      </c>
      <c r="H190" s="10">
        <f>ROUND((E190/5*100+F190)/2,0)</f>
        <v/>
      </c>
      <c r="I190" s="10" t="n">
        <v>644602516</v>
      </c>
      <c r="J190" s="10" t="inlineStr">
        <is>
          <t>n</t>
        </is>
      </c>
      <c r="K190" s="10" t="n">
        <v>150000000</v>
      </c>
      <c r="L190" s="10" t="inlineStr">
        <is>
          <t>n</t>
        </is>
      </c>
      <c r="M190" s="10" t="n">
        <v>112</v>
      </c>
      <c r="N190" s="10" t="n">
        <v>0</v>
      </c>
      <c r="O190" s="10" t="n">
        <v>0</v>
      </c>
    </row>
    <row r="191" ht="15.75" customHeight="1" s="11">
      <c r="A191" s="10" t="inlineStr">
        <is>
          <t>Captain America: The Winter Soldier</t>
        </is>
      </c>
      <c r="B191" s="10" t="inlineStr">
        <is>
          <t>card_190</t>
        </is>
      </c>
      <c r="C191" s="10" t="inlineStr">
        <is>
          <t>Anthony Russo and Joe Russo</t>
        </is>
      </c>
      <c r="D191" s="10" t="n">
        <v>2014</v>
      </c>
      <c r="E191" s="10" t="n">
        <v>3.79</v>
      </c>
      <c r="F191" s="10" t="n">
        <v>83</v>
      </c>
      <c r="H191" s="10">
        <f>ROUND((E191/5*100+F191)/2,0)</f>
        <v/>
      </c>
      <c r="I191" s="10" t="n">
        <v>714401889</v>
      </c>
      <c r="J191" s="10" t="inlineStr">
        <is>
          <t>n</t>
        </is>
      </c>
      <c r="K191" s="10" t="n">
        <v>170000000</v>
      </c>
      <c r="L191" s="10" t="inlineStr">
        <is>
          <t>n</t>
        </is>
      </c>
      <c r="M191" s="10" t="n">
        <v>136</v>
      </c>
      <c r="N191" s="10" t="n">
        <v>0</v>
      </c>
      <c r="O191" s="10" t="n">
        <v>0</v>
      </c>
    </row>
    <row r="192" ht="15.75" customHeight="1" s="11">
      <c r="A192" s="10" t="inlineStr">
        <is>
          <t>Avengers: Age of Ultron</t>
        </is>
      </c>
      <c r="B192" s="10" t="inlineStr">
        <is>
          <t>card_191</t>
        </is>
      </c>
      <c r="C192" s="10" t="inlineStr">
        <is>
          <t>Joss Whedon</t>
        </is>
      </c>
      <c r="D192" s="10" t="n">
        <v>2015</v>
      </c>
      <c r="E192" s="10" t="n">
        <v>3.32</v>
      </c>
      <c r="F192" s="10" t="n">
        <v>71</v>
      </c>
      <c r="H192" s="10">
        <f>ROUND((E192/5*100+F192)/2,0)</f>
        <v/>
      </c>
      <c r="I192" s="10" t="n">
        <v>1395316979</v>
      </c>
      <c r="J192" s="10" t="inlineStr">
        <is>
          <t>n</t>
        </is>
      </c>
      <c r="K192" s="10" t="n">
        <v>365000000</v>
      </c>
      <c r="L192" s="10" t="inlineStr">
        <is>
          <t>n</t>
        </is>
      </c>
      <c r="M192" s="10" t="n">
        <v>141</v>
      </c>
      <c r="N192" s="10" t="n">
        <v>0</v>
      </c>
      <c r="O192" s="10" t="n">
        <v>0</v>
      </c>
    </row>
    <row r="193" ht="15.75" customHeight="1" s="11">
      <c r="A193" s="10" t="inlineStr">
        <is>
          <t>Ant-Man</t>
        </is>
      </c>
      <c r="B193" s="10" t="inlineStr">
        <is>
          <t>card_192</t>
        </is>
      </c>
      <c r="C193" s="10" t="inlineStr">
        <is>
          <t>Peyton Reed</t>
        </is>
      </c>
      <c r="D193" s="10" t="n">
        <v>2015</v>
      </c>
      <c r="E193" s="10" t="n">
        <v>3.22</v>
      </c>
      <c r="F193" s="10" t="n">
        <v>78</v>
      </c>
      <c r="H193" s="10">
        <f>ROUND((E193/5*100+F193)/2,0)</f>
        <v/>
      </c>
      <c r="I193" s="10" t="n">
        <v>518858449</v>
      </c>
      <c r="J193" s="10" t="inlineStr">
        <is>
          <t>n</t>
        </is>
      </c>
      <c r="K193" s="10" t="n">
        <v>130000000</v>
      </c>
      <c r="L193" s="10" t="inlineStr">
        <is>
          <t>n</t>
        </is>
      </c>
      <c r="M193" s="10" t="n">
        <v>117</v>
      </c>
      <c r="N193" s="10" t="n">
        <v>0</v>
      </c>
      <c r="O193" s="10" t="n">
        <v>0</v>
      </c>
    </row>
    <row r="194" ht="15.75" customHeight="1" s="11">
      <c r="A194" s="10" t="inlineStr">
        <is>
          <t>Captain America: Civil War</t>
        </is>
      </c>
      <c r="B194" s="10" t="inlineStr">
        <is>
          <t>card_193</t>
        </is>
      </c>
      <c r="C194" s="10" t="inlineStr">
        <is>
          <t>Anthony Russo and Joe Russo</t>
        </is>
      </c>
      <c r="D194" s="10" t="n">
        <v>2016</v>
      </c>
      <c r="E194" s="10" t="n">
        <v>3.7</v>
      </c>
      <c r="F194" s="10" t="n">
        <v>82</v>
      </c>
      <c r="H194" s="10">
        <f>ROUND((E194/5*100+F194)/2,0)</f>
        <v/>
      </c>
      <c r="I194" s="10" t="n">
        <v>1151899586</v>
      </c>
      <c r="J194" s="10" t="inlineStr">
        <is>
          <t>n</t>
        </is>
      </c>
      <c r="K194" s="10" t="n">
        <v>250000000</v>
      </c>
      <c r="L194" s="10" t="inlineStr">
        <is>
          <t>n</t>
        </is>
      </c>
      <c r="M194" s="10" t="n">
        <v>147</v>
      </c>
      <c r="N194" s="10" t="n">
        <v>0</v>
      </c>
      <c r="O194" s="10" t="n">
        <v>0</v>
      </c>
    </row>
    <row r="195" ht="15.75" customHeight="1" s="11">
      <c r="A195" s="10" t="inlineStr">
        <is>
          <t>Doctor Strange</t>
        </is>
      </c>
      <c r="B195" s="10" t="inlineStr">
        <is>
          <t>card_194</t>
        </is>
      </c>
      <c r="C195" s="10" t="inlineStr">
        <is>
          <t>Scott Derrickson</t>
        </is>
      </c>
      <c r="D195" s="10" t="n">
        <v>2016</v>
      </c>
      <c r="E195" s="10" t="n">
        <v>3.5</v>
      </c>
      <c r="F195" s="10" t="n">
        <v>80</v>
      </c>
      <c r="H195" s="10">
        <f>ROUND((E195/5*100+F195)/2,0)</f>
        <v/>
      </c>
      <c r="I195" s="10" t="n">
        <v>676343174</v>
      </c>
      <c r="J195" s="10" t="inlineStr">
        <is>
          <t>n</t>
        </is>
      </c>
      <c r="K195" s="10" t="n">
        <v>165000000</v>
      </c>
      <c r="L195" s="10" t="inlineStr">
        <is>
          <t>n</t>
        </is>
      </c>
      <c r="M195" s="10" t="n">
        <v>115</v>
      </c>
      <c r="N195" s="10" t="n">
        <v>0</v>
      </c>
      <c r="O195" s="10" t="n">
        <v>0</v>
      </c>
    </row>
    <row r="196" ht="15.75" customHeight="1" s="11">
      <c r="A196" s="10" t="inlineStr">
        <is>
          <t>Guardians of the Galaxy Vol. 2</t>
        </is>
      </c>
      <c r="B196" s="10" t="inlineStr">
        <is>
          <t>card_195</t>
        </is>
      </c>
      <c r="C196" s="10" t="inlineStr">
        <is>
          <t>James Gunn</t>
        </is>
      </c>
      <c r="D196" s="10" t="n">
        <v>2017</v>
      </c>
      <c r="E196" s="10" t="n">
        <v>3.62</v>
      </c>
      <c r="F196" s="10" t="n">
        <v>77</v>
      </c>
      <c r="H196" s="10">
        <f>ROUND((E196/5*100+F196)/2,0)</f>
        <v/>
      </c>
      <c r="I196" s="10" t="n">
        <v>869087963</v>
      </c>
      <c r="J196" s="10" t="inlineStr">
        <is>
          <t>n</t>
        </is>
      </c>
      <c r="K196" s="10" t="n">
        <v>200000000</v>
      </c>
      <c r="L196" s="10" t="inlineStr">
        <is>
          <t>n</t>
        </is>
      </c>
      <c r="M196" s="10" t="n">
        <v>136</v>
      </c>
      <c r="N196" s="10" t="n">
        <v>0</v>
      </c>
      <c r="O196" s="10" t="n">
        <v>0</v>
      </c>
    </row>
    <row r="197" ht="15.75" customHeight="1" s="11">
      <c r="A197" s="10" t="inlineStr">
        <is>
          <t>Spider-Man: Homecoming</t>
        </is>
      </c>
      <c r="B197" s="10" t="inlineStr">
        <is>
          <t>card_196</t>
        </is>
      </c>
      <c r="C197" s="10" t="inlineStr">
        <is>
          <t>Jon Watts</t>
        </is>
      </c>
      <c r="D197" s="10" t="n">
        <v>2017</v>
      </c>
      <c r="E197" s="10" t="n">
        <v>3.51</v>
      </c>
      <c r="F197" s="10" t="n">
        <v>74</v>
      </c>
      <c r="H197" s="10">
        <f>ROUND((E197/5*100+F197)/2,0)</f>
        <v/>
      </c>
      <c r="I197" s="10" t="n">
        <v>878852749</v>
      </c>
      <c r="J197" s="10" t="inlineStr">
        <is>
          <t>n</t>
        </is>
      </c>
      <c r="K197" s="10" t="n">
        <v>175000000</v>
      </c>
      <c r="L197" s="10" t="inlineStr">
        <is>
          <t>n</t>
        </is>
      </c>
      <c r="M197" s="10" t="n">
        <v>133</v>
      </c>
      <c r="N197" s="10" t="n">
        <v>0</v>
      </c>
      <c r="O197" s="10" t="n">
        <v>0</v>
      </c>
    </row>
    <row r="198" ht="15.75" customHeight="1" s="11">
      <c r="A198" s="10" t="inlineStr">
        <is>
          <t>Thor: Ragnarok</t>
        </is>
      </c>
      <c r="B198" s="10" t="inlineStr">
        <is>
          <t>card_197</t>
        </is>
      </c>
      <c r="C198" s="10" t="inlineStr">
        <is>
          <t>Taika Waititi</t>
        </is>
      </c>
      <c r="D198" s="10" t="n">
        <v>2017</v>
      </c>
      <c r="E198" s="10" t="n">
        <v>3.71</v>
      </c>
      <c r="F198" s="10" t="n">
        <v>77</v>
      </c>
      <c r="H198" s="10">
        <f>ROUND((E198/5*100+F198)/2,0)</f>
        <v/>
      </c>
      <c r="I198" s="10" t="n">
        <v>850482778</v>
      </c>
      <c r="J198" s="10" t="inlineStr">
        <is>
          <t>n</t>
        </is>
      </c>
      <c r="K198" s="10" t="n">
        <v>180000000</v>
      </c>
      <c r="L198" s="10" t="inlineStr">
        <is>
          <t>n</t>
        </is>
      </c>
      <c r="M198" s="10" t="n">
        <v>130</v>
      </c>
      <c r="N198" s="10" t="n">
        <v>0</v>
      </c>
      <c r="O198" s="10" t="n">
        <v>1</v>
      </c>
    </row>
    <row r="199" ht="15.75" customHeight="1" s="11">
      <c r="A199" s="10" t="inlineStr">
        <is>
          <t>Black Panther</t>
        </is>
      </c>
      <c r="B199" s="10" t="inlineStr">
        <is>
          <t>card_198</t>
        </is>
      </c>
      <c r="C199" s="10" t="inlineStr">
        <is>
          <t>Ryan Coogler</t>
        </is>
      </c>
      <c r="D199" s="10" t="n">
        <v>2018</v>
      </c>
      <c r="E199" s="10" t="n">
        <v>3.72</v>
      </c>
      <c r="F199" s="10" t="n">
        <v>63</v>
      </c>
      <c r="H199" s="10">
        <f>ROUND((E199/5*100+F199)/2,0)</f>
        <v/>
      </c>
      <c r="I199" s="10" t="n">
        <v>1334157082</v>
      </c>
      <c r="J199" s="10" t="inlineStr">
        <is>
          <t>n</t>
        </is>
      </c>
      <c r="K199" s="10" t="n">
        <v>200000000</v>
      </c>
      <c r="L199" s="10" t="inlineStr">
        <is>
          <t>n</t>
        </is>
      </c>
      <c r="M199" s="10" t="n">
        <v>134</v>
      </c>
      <c r="N199" s="10" t="n">
        <v>3</v>
      </c>
      <c r="O199" s="10" t="n">
        <v>0</v>
      </c>
    </row>
    <row r="200" ht="15.75" customHeight="1" s="11">
      <c r="A200" s="10" t="inlineStr">
        <is>
          <t>Ant-Man and the Wasp</t>
        </is>
      </c>
      <c r="B200" s="10" t="inlineStr">
        <is>
          <t>card_199</t>
        </is>
      </c>
      <c r="C200" s="10" t="inlineStr">
        <is>
          <t>Peyton Reed</t>
        </is>
      </c>
      <c r="D200" s="10" t="n">
        <v>2018</v>
      </c>
      <c r="E200" s="10" t="n">
        <v>2.82</v>
      </c>
      <c r="F200" s="10" t="n">
        <v>69</v>
      </c>
      <c r="H200" s="10">
        <f>ROUND((E200/5*100+F200)/2,0)</f>
        <v/>
      </c>
      <c r="I200" s="10" t="n">
        <v>623144660</v>
      </c>
      <c r="J200" s="10" t="inlineStr">
        <is>
          <t>n</t>
        </is>
      </c>
      <c r="K200" s="10" t="n">
        <v>130000000</v>
      </c>
      <c r="L200" s="10" t="inlineStr">
        <is>
          <t>n</t>
        </is>
      </c>
      <c r="M200" s="10" t="n">
        <v>118</v>
      </c>
      <c r="N200" s="10" t="n">
        <v>0</v>
      </c>
      <c r="O200" s="10" t="n">
        <v>0</v>
      </c>
    </row>
    <row r="201" ht="15.75" customHeight="1" s="11">
      <c r="A201" s="10" t="inlineStr">
        <is>
          <t>Captain Marvel</t>
        </is>
      </c>
      <c r="B201" s="10" t="inlineStr">
        <is>
          <t>card_200</t>
        </is>
      </c>
      <c r="C201" s="10" t="inlineStr">
        <is>
          <t>Anna Boden and Ryan Fleck</t>
        </is>
      </c>
      <c r="D201" s="10" t="n">
        <v>2019</v>
      </c>
      <c r="E201" s="10" t="n">
        <v>2.63</v>
      </c>
      <c r="F201" s="10" t="n">
        <v>40</v>
      </c>
      <c r="H201" s="10">
        <f>ROUND((E201/5*100+F201)/2,0)</f>
        <v/>
      </c>
      <c r="I201" s="10" t="n">
        <v>1129576094</v>
      </c>
      <c r="J201" s="10" t="inlineStr">
        <is>
          <t>n</t>
        </is>
      </c>
      <c r="K201" s="10" t="n">
        <v>175000000</v>
      </c>
      <c r="L201" s="10" t="inlineStr">
        <is>
          <t>n</t>
        </is>
      </c>
      <c r="M201" s="10" t="n">
        <v>123</v>
      </c>
      <c r="N201" s="10" t="n">
        <v>0</v>
      </c>
      <c r="O201" s="10" t="n">
        <v>0</v>
      </c>
    </row>
    <row r="202">
      <c r="A202" s="10" t="inlineStr">
        <is>
          <t>Avengers: Endgame</t>
        </is>
      </c>
      <c r="B202" s="10" t="inlineStr">
        <is>
          <t>card_201</t>
        </is>
      </c>
      <c r="C202" s="10" t="inlineStr">
        <is>
          <t>Anthony Russo and Joe Russo</t>
        </is>
      </c>
      <c r="D202" s="10" t="n">
        <v>2019</v>
      </c>
      <c r="E202" s="10" t="n">
        <v>4.02</v>
      </c>
      <c r="F202" s="10" t="n">
        <v>83</v>
      </c>
      <c r="H202" s="10">
        <f>ROUND((E202/5*100+F202)/2,0)</f>
        <v/>
      </c>
      <c r="I202" s="10" t="n">
        <v>2717503922</v>
      </c>
      <c r="J202" s="10" t="inlineStr">
        <is>
          <t>n</t>
        </is>
      </c>
      <c r="K202" s="10" t="n">
        <v>400000000</v>
      </c>
      <c r="L202" s="10" t="inlineStr">
        <is>
          <t>n</t>
        </is>
      </c>
      <c r="M202" s="10" t="n">
        <v>181</v>
      </c>
      <c r="N202" s="10" t="n">
        <v>0</v>
      </c>
      <c r="O202" s="10" t="n">
        <v>0</v>
      </c>
    </row>
    <row r="203">
      <c r="A203" s="10" t="inlineStr">
        <is>
          <t>Spider-Man: Far From Home</t>
        </is>
      </c>
      <c r="B203" s="10" t="inlineStr">
        <is>
          <t>card_202</t>
        </is>
      </c>
      <c r="C203" s="10" t="inlineStr">
        <is>
          <t>Jon Watts</t>
        </is>
      </c>
      <c r="D203" s="10" t="n">
        <v>2019</v>
      </c>
      <c r="E203" s="10" t="n">
        <v>3.42</v>
      </c>
      <c r="F203" s="10" t="n">
        <v>72</v>
      </c>
      <c r="H203" s="10">
        <f>ROUND((E203/5*100+F203)/2,0)</f>
        <v/>
      </c>
      <c r="I203" s="10" t="n">
        <v>1132298674</v>
      </c>
      <c r="J203" s="10" t="inlineStr">
        <is>
          <t>n</t>
        </is>
      </c>
      <c r="K203" s="10" t="n">
        <v>160000000</v>
      </c>
      <c r="L203" s="10" t="inlineStr">
        <is>
          <t>n</t>
        </is>
      </c>
      <c r="M203" s="10" t="n">
        <v>129</v>
      </c>
      <c r="N203" s="10" t="n">
        <v>0</v>
      </c>
      <c r="O203" s="10" t="n">
        <v>0</v>
      </c>
    </row>
    <row r="204">
      <c r="A204" s="10" t="inlineStr">
        <is>
          <t>Black Widow</t>
        </is>
      </c>
      <c r="B204" s="10" t="inlineStr">
        <is>
          <t>card_203</t>
        </is>
      </c>
      <c r="C204" s="10" t="inlineStr">
        <is>
          <t>Cate Shortland</t>
        </is>
      </c>
      <c r="D204" s="10" t="n">
        <v>2021</v>
      </c>
      <c r="E204" s="10" t="n">
        <v>2.97</v>
      </c>
      <c r="F204" s="10" t="n">
        <v>63</v>
      </c>
      <c r="H204" s="10">
        <f>ROUND((E204/5*100+F204)/2,0)</f>
        <v/>
      </c>
      <c r="I204" s="10" t="n">
        <v>379751131</v>
      </c>
      <c r="J204" s="10" t="inlineStr">
        <is>
          <t>n</t>
        </is>
      </c>
      <c r="K204" s="10" t="n">
        <v>200000000</v>
      </c>
      <c r="L204" s="10" t="inlineStr">
        <is>
          <t>n</t>
        </is>
      </c>
      <c r="M204" s="10" t="n">
        <v>134</v>
      </c>
      <c r="N204" s="10" t="n">
        <v>0</v>
      </c>
      <c r="O204" s="10" t="n">
        <v>0</v>
      </c>
    </row>
    <row r="205">
      <c r="A205" s="10" t="inlineStr">
        <is>
          <t>Shang-Chi and the Legend of the Ten Rings</t>
        </is>
      </c>
      <c r="B205" s="10" t="inlineStr">
        <is>
          <t>card_204</t>
        </is>
      </c>
      <c r="C205" s="10" t="inlineStr">
        <is>
          <t>Destin Daniel Cretton</t>
        </is>
      </c>
      <c r="D205" s="10" t="n">
        <v>2021</v>
      </c>
      <c r="E205" s="10" t="n">
        <v>3.4</v>
      </c>
      <c r="F205" s="10" t="n">
        <v>70</v>
      </c>
      <c r="H205" s="10">
        <f>ROUND((E205/5*100+F205)/2,0)</f>
        <v/>
      </c>
      <c r="I205" s="10" t="n">
        <v>432233010</v>
      </c>
      <c r="J205" s="10" t="inlineStr">
        <is>
          <t>n</t>
        </is>
      </c>
      <c r="K205" s="10" t="n">
        <v>150000000</v>
      </c>
      <c r="L205" s="10" t="inlineStr">
        <is>
          <t>n</t>
        </is>
      </c>
      <c r="M205" s="10" t="n">
        <v>132</v>
      </c>
      <c r="N205" s="10" t="n">
        <v>0</v>
      </c>
      <c r="O205" s="10" t="n">
        <v>0</v>
      </c>
    </row>
    <row r="206">
      <c r="A206" s="10" t="inlineStr">
        <is>
          <t>Eternals</t>
        </is>
      </c>
      <c r="B206" s="10" t="inlineStr">
        <is>
          <t>card_205</t>
        </is>
      </c>
      <c r="C206" s="10" t="inlineStr">
        <is>
          <t>Chloé Zhao</t>
        </is>
      </c>
      <c r="D206" s="10" t="n">
        <v>2021</v>
      </c>
      <c r="E206" s="10" t="n">
        <v>2.68</v>
      </c>
      <c r="F206" s="10" t="n">
        <v>61</v>
      </c>
      <c r="H206" s="10">
        <f>ROUND((E206/5*100+F206)/2,0)</f>
        <v/>
      </c>
      <c r="I206" s="10" t="n">
        <v>402064929</v>
      </c>
      <c r="J206" s="10" t="inlineStr">
        <is>
          <t>n</t>
        </is>
      </c>
      <c r="K206" s="10" t="n">
        <v>200000000</v>
      </c>
      <c r="L206" s="10" t="inlineStr">
        <is>
          <t>n</t>
        </is>
      </c>
      <c r="M206" s="10" t="n">
        <v>156</v>
      </c>
      <c r="N206" s="10" t="n">
        <v>0</v>
      </c>
      <c r="O206" s="10" t="n">
        <v>2</v>
      </c>
    </row>
    <row r="207">
      <c r="A207" s="10" t="inlineStr">
        <is>
          <t>Doctor Strange in the Multiverse of Madness</t>
        </is>
      </c>
      <c r="B207" s="10" t="inlineStr">
        <is>
          <t>card_206</t>
        </is>
      </c>
      <c r="C207" s="10" t="inlineStr">
        <is>
          <t>Sam Raimi</t>
        </is>
      </c>
      <c r="D207" s="10" t="n">
        <v>2022</v>
      </c>
      <c r="E207" s="10" t="n">
        <v>2.97</v>
      </c>
      <c r="F207" s="10" t="n">
        <v>60</v>
      </c>
      <c r="H207" s="10">
        <f>ROUND((E207/5*100+F207)/2,0)</f>
        <v/>
      </c>
      <c r="I207" s="10" t="n">
        <v>955775804</v>
      </c>
      <c r="J207" s="10" t="inlineStr">
        <is>
          <t>n</t>
        </is>
      </c>
      <c r="K207" s="10" t="n">
        <v>200000000</v>
      </c>
      <c r="L207" s="10" t="inlineStr">
        <is>
          <t>n</t>
        </is>
      </c>
      <c r="M207" s="10" t="n">
        <v>126</v>
      </c>
      <c r="N207" s="10" t="n">
        <v>0</v>
      </c>
      <c r="O207" s="10" t="n">
        <v>0</v>
      </c>
    </row>
    <row r="208">
      <c r="A208" s="10" t="inlineStr">
        <is>
          <t>Thor: Love and Thunder</t>
        </is>
      </c>
      <c r="B208" s="10" t="inlineStr">
        <is>
          <t>card_207</t>
        </is>
      </c>
      <c r="C208" s="10" t="inlineStr">
        <is>
          <t>Taika Waititi</t>
        </is>
      </c>
      <c r="D208" s="10" t="n">
        <v>2022</v>
      </c>
      <c r="E208" s="10" t="n">
        <v>2.33</v>
      </c>
      <c r="F208" s="10" t="n">
        <v>46</v>
      </c>
      <c r="H208" s="10">
        <f>ROUND((E208/5*100+F208)/2,0)</f>
        <v/>
      </c>
      <c r="I208" s="10" t="n">
        <v>760928081</v>
      </c>
      <c r="J208" s="10" t="inlineStr">
        <is>
          <t>n</t>
        </is>
      </c>
      <c r="K208" s="10" t="n">
        <v>250000000</v>
      </c>
      <c r="L208" s="10" t="inlineStr">
        <is>
          <t>n</t>
        </is>
      </c>
      <c r="M208" s="10" t="n">
        <v>118</v>
      </c>
      <c r="N208" s="10" t="n">
        <v>0</v>
      </c>
      <c r="O208" s="10" t="n">
        <v>1</v>
      </c>
    </row>
    <row r="209">
      <c r="A209" s="10" t="inlineStr">
        <is>
          <t>Black Panther: Wakanda Forever</t>
        </is>
      </c>
      <c r="B209" s="10" t="inlineStr">
        <is>
          <t>card_208</t>
        </is>
      </c>
      <c r="C209" s="10" t="inlineStr">
        <is>
          <t>Ryan Coogler</t>
        </is>
      </c>
      <c r="D209" s="10" t="n">
        <v>2022</v>
      </c>
      <c r="E209" s="10" t="n">
        <v>3.27</v>
      </c>
      <c r="F209" s="10" t="n">
        <v>52</v>
      </c>
      <c r="H209" s="10">
        <f>ROUND((E209/5*100+F209)/2,0)</f>
        <v/>
      </c>
      <c r="I209" s="10" t="n">
        <v>859208836</v>
      </c>
      <c r="J209" s="10" t="inlineStr">
        <is>
          <t>n</t>
        </is>
      </c>
      <c r="K209" s="10" t="n">
        <v>250000000</v>
      </c>
      <c r="L209" s="10" t="inlineStr">
        <is>
          <t>n</t>
        </is>
      </c>
      <c r="M209" s="10" t="n">
        <v>161</v>
      </c>
      <c r="N209" s="10" t="n">
        <v>1</v>
      </c>
      <c r="O209" s="10" t="n">
        <v>0</v>
      </c>
    </row>
    <row r="210">
      <c r="A210" s="10" t="inlineStr">
        <is>
          <t>Ant-Man and the Wasp: Quantumania</t>
        </is>
      </c>
      <c r="B210" s="10" t="inlineStr">
        <is>
          <t>card_209</t>
        </is>
      </c>
      <c r="C210" s="10" t="inlineStr">
        <is>
          <t>Peyton Reed</t>
        </is>
      </c>
      <c r="D210" s="10" t="n">
        <v>2023</v>
      </c>
      <c r="E210" s="10" t="n">
        <v>2.14</v>
      </c>
      <c r="F210" s="10" t="n">
        <v>51</v>
      </c>
      <c r="H210" s="10">
        <f>ROUND((E210/5*100+F210)/2,0)</f>
        <v/>
      </c>
      <c r="I210" s="10" t="n">
        <v>476071180</v>
      </c>
      <c r="J210" s="10" t="inlineStr">
        <is>
          <t>n</t>
        </is>
      </c>
      <c r="K210" s="10" t="n">
        <v>200000000</v>
      </c>
      <c r="L210" s="10" t="inlineStr">
        <is>
          <t>n</t>
        </is>
      </c>
      <c r="M210" s="10" t="n">
        <v>124</v>
      </c>
      <c r="N210" s="10" t="n">
        <v>0</v>
      </c>
      <c r="O210" s="10" t="n">
        <v>0</v>
      </c>
    </row>
    <row r="211">
      <c r="A211" s="10" t="inlineStr">
        <is>
          <t>Guardians of the Galaxy Vol. 3</t>
        </is>
      </c>
      <c r="B211" s="10" t="inlineStr">
        <is>
          <t>card_210</t>
        </is>
      </c>
      <c r="C211" s="10" t="inlineStr">
        <is>
          <t>James Gunn</t>
        </is>
      </c>
      <c r="D211" s="10" t="n">
        <v>2023</v>
      </c>
      <c r="E211" s="10" t="n">
        <v>3.99</v>
      </c>
      <c r="F211" s="10" t="n">
        <v>80</v>
      </c>
      <c r="H211" s="10">
        <f>ROUND((E211/5*100+F211)/2,0)</f>
        <v/>
      </c>
      <c r="I211" s="10" t="n">
        <v>845555777</v>
      </c>
      <c r="J211" s="10" t="inlineStr">
        <is>
          <t>n</t>
        </is>
      </c>
      <c r="K211" s="10" t="n">
        <v>250000000</v>
      </c>
      <c r="L211" s="10" t="inlineStr">
        <is>
          <t>n</t>
        </is>
      </c>
      <c r="M211" s="10" t="n">
        <v>150</v>
      </c>
      <c r="N211" s="10" t="n">
        <v>0</v>
      </c>
      <c r="O211" s="10" t="n">
        <v>0</v>
      </c>
    </row>
    <row r="212">
      <c r="A212" s="10" t="inlineStr">
        <is>
          <t>The Marvels</t>
        </is>
      </c>
      <c r="B212" s="10" t="inlineStr">
        <is>
          <t>card_211</t>
        </is>
      </c>
      <c r="C212" s="10" t="inlineStr">
        <is>
          <t>Nia DaCosta</t>
        </is>
      </c>
      <c r="D212" s="10" t="n">
        <v>2023</v>
      </c>
      <c r="E212" s="10" t="n">
        <v>2.42</v>
      </c>
      <c r="F212" s="10" t="n">
        <v>37</v>
      </c>
      <c r="H212" s="10">
        <f>ROUND((E212/5*100+F212)/2,0)</f>
        <v/>
      </c>
      <c r="I212" s="10" t="n">
        <v>206136825</v>
      </c>
      <c r="J212" s="10" t="inlineStr">
        <is>
          <t>n</t>
        </is>
      </c>
      <c r="K212" s="10" t="n">
        <v>270000000</v>
      </c>
      <c r="L212" s="10" t="inlineStr">
        <is>
          <t>n</t>
        </is>
      </c>
      <c r="M212" s="10" t="n">
        <v>105</v>
      </c>
      <c r="N212" s="10" t="n">
        <v>0</v>
      </c>
      <c r="O212" s="10" t="n">
        <v>0</v>
      </c>
    </row>
    <row r="213">
      <c r="A213" s="10" t="inlineStr">
        <is>
          <t>Deadpool &amp; Wolverine</t>
        </is>
      </c>
      <c r="B213" s="10" t="inlineStr">
        <is>
          <t>card_212</t>
        </is>
      </c>
      <c r="C213" s="10" t="inlineStr">
        <is>
          <t>Shawn Levy</t>
        </is>
      </c>
      <c r="D213" s="10" t="n">
        <v>2024</v>
      </c>
      <c r="E213" s="10" t="n">
        <v>3.46</v>
      </c>
      <c r="F213" s="10" t="n">
        <v>79</v>
      </c>
      <c r="H213" s="10">
        <f>ROUND((E213/5*100+F213)/2,0)</f>
        <v/>
      </c>
      <c r="I213" s="10" t="n">
        <v>1338073645</v>
      </c>
      <c r="J213" s="10" t="inlineStr">
        <is>
          <t>n</t>
        </is>
      </c>
      <c r="K213" s="10" t="n">
        <v>200000000</v>
      </c>
      <c r="L213" s="10" t="inlineStr">
        <is>
          <t>n</t>
        </is>
      </c>
      <c r="M213" s="10" t="n">
        <v>128</v>
      </c>
      <c r="N213" s="10" t="n">
        <v>0</v>
      </c>
      <c r="O213" s="10" t="n">
        <v>0</v>
      </c>
    </row>
    <row r="214">
      <c r="A214" s="10" t="inlineStr">
        <is>
          <t>Captain America: Brave New World</t>
        </is>
      </c>
      <c r="B214" s="10" t="inlineStr">
        <is>
          <t>card_213</t>
        </is>
      </c>
      <c r="C214" s="10" t="inlineStr">
        <is>
          <t>Julius Onah</t>
        </is>
      </c>
      <c r="D214" s="10" t="n">
        <v>2025</v>
      </c>
      <c r="E214" s="10" t="n">
        <v>2.4</v>
      </c>
      <c r="F214" s="10" t="n">
        <v>47</v>
      </c>
      <c r="H214" s="10">
        <f>ROUND((E214/5*100+F214)/2,0)</f>
        <v/>
      </c>
      <c r="I214" s="10" t="n">
        <v>415101577</v>
      </c>
      <c r="J214" s="10" t="inlineStr">
        <is>
          <t>n</t>
        </is>
      </c>
      <c r="K214" s="10" t="n">
        <v>180000000</v>
      </c>
      <c r="L214" s="10" t="inlineStr">
        <is>
          <t>n</t>
        </is>
      </c>
      <c r="M214" s="10" t="n">
        <v>118</v>
      </c>
      <c r="N214" s="10" t="n">
        <v>0</v>
      </c>
      <c r="O214" s="10" t="n">
        <v>0</v>
      </c>
    </row>
    <row r="215">
      <c r="A215" s="10" t="inlineStr">
        <is>
          <t>Thunderbolts*</t>
        </is>
      </c>
      <c r="B215" s="10" t="inlineStr">
        <is>
          <t>card_214</t>
        </is>
      </c>
      <c r="C215" s="10" t="inlineStr">
        <is>
          <t>Jake Schreier</t>
        </is>
      </c>
      <c r="D215" s="10" t="n">
        <v>2025</v>
      </c>
      <c r="E215" s="10" t="n">
        <v>3.56</v>
      </c>
      <c r="F215" s="10" t="n">
        <v>71</v>
      </c>
      <c r="H215" s="10">
        <f>ROUND((E215/5*100+F215)/2,0)</f>
        <v/>
      </c>
      <c r="I215" s="10" t="n">
        <v>382436917</v>
      </c>
      <c r="J215" s="10" t="inlineStr">
        <is>
          <t>n</t>
        </is>
      </c>
      <c r="K215" s="10" t="n">
        <v>180000000</v>
      </c>
      <c r="L215" s="10" t="inlineStr">
        <is>
          <t>n</t>
        </is>
      </c>
      <c r="M215" s="10" t="n">
        <v>126</v>
      </c>
      <c r="N215" s="10" t="n">
        <v>0</v>
      </c>
      <c r="O215" s="10" t="n">
        <v>0</v>
      </c>
    </row>
    <row r="216">
      <c r="A216" s="10" t="inlineStr">
        <is>
          <t>The Fantastic Four: First Steps</t>
        </is>
      </c>
      <c r="B216" s="10" t="inlineStr">
        <is>
          <t>card_215</t>
        </is>
      </c>
      <c r="C216" s="10" t="inlineStr">
        <is>
          <t>Matt Shakman</t>
        </is>
      </c>
      <c r="D216" s="10" t="n">
        <v>2025</v>
      </c>
      <c r="E216" s="10" t="n">
        <v>3.33</v>
      </c>
      <c r="F216" s="10" t="n">
        <v>65</v>
      </c>
      <c r="H216" s="10">
        <f>ROUND((E216/5*100+F216)/2,0)</f>
        <v/>
      </c>
      <c r="I216" s="10" t="n">
        <v>521858728</v>
      </c>
      <c r="J216" s="10" t="inlineStr">
        <is>
          <t>n</t>
        </is>
      </c>
      <c r="K216" s="10" t="n">
        <v>200000000</v>
      </c>
      <c r="L216" s="10" t="inlineStr">
        <is>
          <t>n</t>
        </is>
      </c>
      <c r="M216" s="10" t="n">
        <v>115</v>
      </c>
      <c r="N216" s="10" t="n">
        <v>0</v>
      </c>
      <c r="O216" s="10" t="n">
        <v>0</v>
      </c>
    </row>
    <row r="217">
      <c r="A217" s="10" t="inlineStr">
        <is>
          <t>The Hobbit: An Unexpected Journey</t>
        </is>
      </c>
      <c r="B217" s="10" t="inlineStr">
        <is>
          <t>card_216</t>
        </is>
      </c>
      <c r="C217" s="10" t="inlineStr">
        <is>
          <t>Peter Jackson</t>
        </is>
      </c>
      <c r="D217" s="10" t="n">
        <v>2012</v>
      </c>
      <c r="E217" s="10" t="n">
        <v>3.62</v>
      </c>
      <c r="F217" s="10" t="n">
        <v>79</v>
      </c>
      <c r="H217" s="10">
        <f>ROUND((E217/5*100+F217)/2,0)</f>
        <v/>
      </c>
      <c r="I217" s="10" t="n">
        <v>1017003568</v>
      </c>
      <c r="J217" s="10" t="inlineStr">
        <is>
          <t>n</t>
        </is>
      </c>
      <c r="K217" s="10" t="n">
        <v>180000000</v>
      </c>
      <c r="L217" s="10" t="inlineStr">
        <is>
          <t>y</t>
        </is>
      </c>
      <c r="M217" s="10" t="n">
        <v>169</v>
      </c>
      <c r="N217" s="10" t="n">
        <v>0</v>
      </c>
      <c r="O217" s="10" t="n">
        <v>3</v>
      </c>
    </row>
    <row r="218">
      <c r="A218" s="10" t="inlineStr">
        <is>
          <t>The Hobbit: The Desolation of Smaug</t>
        </is>
      </c>
      <c r="B218" s="10" t="inlineStr">
        <is>
          <t>card_217</t>
        </is>
      </c>
      <c r="C218" s="10" t="inlineStr">
        <is>
          <t>Peter Jackson</t>
        </is>
      </c>
      <c r="D218" s="10" t="n">
        <v>2013</v>
      </c>
      <c r="E218" s="10" t="n">
        <v>3.55</v>
      </c>
      <c r="F218" s="10" t="n">
        <v>77</v>
      </c>
      <c r="H218" s="10">
        <f>ROUND((E218/5*100+F218)/2,0)</f>
        <v/>
      </c>
      <c r="I218" s="10" t="n">
        <v>958366855</v>
      </c>
      <c r="J218" s="10" t="inlineStr">
        <is>
          <t>n</t>
        </is>
      </c>
      <c r="K218" s="10" t="n">
        <v>225000000</v>
      </c>
      <c r="L218" s="10" t="inlineStr">
        <is>
          <t>y</t>
        </is>
      </c>
      <c r="M218" s="10" t="n">
        <v>161</v>
      </c>
      <c r="N218" s="10" t="n">
        <v>0</v>
      </c>
      <c r="O218" s="10" t="n">
        <v>3</v>
      </c>
    </row>
    <row r="219">
      <c r="A219" s="10" t="inlineStr">
        <is>
          <t>The Hobbit: The Battle of the Five Armies</t>
        </is>
      </c>
      <c r="B219" s="10" t="inlineStr">
        <is>
          <t>card_218</t>
        </is>
      </c>
      <c r="C219" s="10" t="inlineStr">
        <is>
          <t>Peter Jackson</t>
        </is>
      </c>
      <c r="D219" s="10" t="n">
        <v>2014</v>
      </c>
      <c r="E219" s="10" t="n">
        <v>3.39</v>
      </c>
      <c r="F219" s="10" t="n">
        <v>70</v>
      </c>
      <c r="H219" s="10">
        <f>ROUND((E219/5*100+F219)/2,0)</f>
        <v/>
      </c>
      <c r="I219" s="10" t="n">
        <v>956019788</v>
      </c>
      <c r="J219" s="10" t="inlineStr">
        <is>
          <t>n</t>
        </is>
      </c>
      <c r="K219" s="10" t="n">
        <v>250000000</v>
      </c>
      <c r="L219" s="10" t="inlineStr">
        <is>
          <t>y</t>
        </is>
      </c>
      <c r="M219" s="10" t="n">
        <v>144</v>
      </c>
      <c r="N219" s="10" t="n">
        <v>0</v>
      </c>
      <c r="O219" s="10" t="n">
        <v>3</v>
      </c>
    </row>
    <row r="220">
      <c r="A220" s="10" t="inlineStr">
        <is>
          <t>Deadpool</t>
        </is>
      </c>
      <c r="B220" s="10" t="inlineStr">
        <is>
          <t>card_219</t>
        </is>
      </c>
      <c r="C220" s="10" t="inlineStr">
        <is>
          <t>Tim Miller</t>
        </is>
      </c>
      <c r="D220" s="10" t="n">
        <v>2016</v>
      </c>
      <c r="E220" s="10" t="n">
        <v>3.71</v>
      </c>
      <c r="F220" s="10" t="n">
        <v>80</v>
      </c>
      <c r="H220" s="10">
        <f>ROUND((E220/5*100+F220)/2,0)</f>
        <v/>
      </c>
      <c r="I220" s="10" t="n">
        <v>782612155</v>
      </c>
      <c r="J220" s="10" t="inlineStr">
        <is>
          <t>n</t>
        </is>
      </c>
      <c r="K220" s="10" t="n">
        <v>58000000</v>
      </c>
      <c r="L220" s="10" t="inlineStr">
        <is>
          <t>n</t>
        </is>
      </c>
      <c r="M220" s="10" t="n">
        <v>108</v>
      </c>
      <c r="N220" s="10" t="n">
        <v>0</v>
      </c>
      <c r="O220" s="10" t="n">
        <v>0</v>
      </c>
    </row>
    <row r="221">
      <c r="A221" s="10" t="inlineStr">
        <is>
          <t>Deadpool 2</t>
        </is>
      </c>
      <c r="B221" s="10" t="inlineStr">
        <is>
          <t>card_220</t>
        </is>
      </c>
      <c r="C221" s="10" t="inlineStr">
        <is>
          <t>David Leitch</t>
        </is>
      </c>
      <c r="D221" s="10" t="n">
        <v>2018</v>
      </c>
      <c r="E221" s="10" t="n">
        <v>3.49</v>
      </c>
      <c r="F221" s="10" t="n">
        <v>76</v>
      </c>
      <c r="H221" s="10">
        <f>ROUND((E221/5*100+F221)/2,0)</f>
        <v/>
      </c>
      <c r="I221" s="10" t="n">
        <v>785896609</v>
      </c>
      <c r="J221" s="10" t="inlineStr">
        <is>
          <t>n</t>
        </is>
      </c>
      <c r="K221" s="10" t="n">
        <v>110000000</v>
      </c>
      <c r="L221" s="10" t="inlineStr">
        <is>
          <t>n</t>
        </is>
      </c>
      <c r="M221" s="10" t="n">
        <v>119</v>
      </c>
      <c r="N221" s="10" t="n">
        <v>0</v>
      </c>
      <c r="O221" s="10" t="n">
        <v>0</v>
      </c>
    </row>
    <row r="222">
      <c r="A222" s="10" t="inlineStr">
        <is>
          <t>Spider-Man: Brand New Day</t>
        </is>
      </c>
      <c r="B222" s="10" t="inlineStr">
        <is>
          <t>card_221</t>
        </is>
      </c>
      <c r="C222" s="10" t="inlineStr">
        <is>
          <t>Destin Daniel Cretton</t>
        </is>
      </c>
      <c r="D222" s="10" t="n">
        <v>2026</v>
      </c>
      <c r="E222" s="10" t="n">
        <v>4</v>
      </c>
      <c r="F222" s="10" t="n">
        <v>79</v>
      </c>
      <c r="I222" s="10" t="n">
        <v>1200000000</v>
      </c>
      <c r="J222" s="10" t="inlineStr">
        <is>
          <t>y</t>
        </is>
      </c>
      <c r="K222" s="10" t="n">
        <v>225000000</v>
      </c>
      <c r="L222" s="10" t="inlineStr">
        <is>
          <t>y</t>
        </is>
      </c>
      <c r="M222" s="10" t="n">
        <v>145</v>
      </c>
      <c r="N222" s="10" t="n">
        <v>0</v>
      </c>
      <c r="O222" s="10" t="n">
        <v>0</v>
      </c>
    </row>
    <row r="223">
      <c r="A223" s="10" t="inlineStr">
        <is>
          <t>Quo Vadis</t>
        </is>
      </c>
      <c r="B223" s="10" t="inlineStr">
        <is>
          <t>card_222</t>
        </is>
      </c>
      <c r="C223" s="10" t="inlineStr">
        <is>
          <t>Mervyn LeRoy</t>
        </is>
      </c>
      <c r="D223" s="10" t="n">
        <v>1951</v>
      </c>
      <c r="E223" s="10" t="n">
        <v>3.45</v>
      </c>
      <c r="F223" s="10" t="n">
        <v>68</v>
      </c>
      <c r="I223" s="10" t="n">
        <v>21000000</v>
      </c>
      <c r="J223" s="10" t="inlineStr">
        <is>
          <t>y</t>
        </is>
      </c>
      <c r="K223" s="10" t="n">
        <v>7600000</v>
      </c>
      <c r="L223" s="10" t="inlineStr">
        <is>
          <t>y</t>
        </is>
      </c>
      <c r="M223" s="10" t="n">
        <v>171</v>
      </c>
      <c r="N223" s="10" t="n">
        <v>0</v>
      </c>
      <c r="O223" s="10" t="n">
        <v>0</v>
      </c>
    </row>
    <row r="224">
      <c r="A224" s="10" t="inlineStr">
        <is>
          <t>David and Bathsheba</t>
        </is>
      </c>
      <c r="B224" s="10" t="inlineStr">
        <is>
          <t>card_223</t>
        </is>
      </c>
      <c r="C224" s="10" t="inlineStr">
        <is>
          <t>Henry King</t>
        </is>
      </c>
      <c r="D224" s="10" t="n">
        <v>1951</v>
      </c>
      <c r="E224" s="10" t="n">
        <v>3.21</v>
      </c>
      <c r="I224" s="10" t="n">
        <v>4720000</v>
      </c>
      <c r="J224" s="10" t="inlineStr">
        <is>
          <t>y</t>
        </is>
      </c>
      <c r="K224" s="10" t="n">
        <v>2170000</v>
      </c>
      <c r="L224" s="10" t="inlineStr">
        <is>
          <t>y</t>
        </is>
      </c>
      <c r="M224" s="10" t="n">
        <v>116</v>
      </c>
      <c r="N224" s="10" t="n">
        <v>0</v>
      </c>
      <c r="O224" s="10" t="n">
        <v>0</v>
      </c>
    </row>
    <row r="225">
      <c r="A225" s="10" t="inlineStr">
        <is>
          <t>Salome</t>
        </is>
      </c>
      <c r="B225" s="10" t="inlineStr">
        <is>
          <t>card_224</t>
        </is>
      </c>
      <c r="C225" s="10" t="inlineStr">
        <is>
          <t>William Dieterle</t>
        </is>
      </c>
      <c r="D225" s="10" t="n">
        <v>1953</v>
      </c>
      <c r="E225" s="10" t="n">
        <v>2.9</v>
      </c>
      <c r="I225" s="10" t="n">
        <v>4750000</v>
      </c>
      <c r="J225" s="10" t="inlineStr">
        <is>
          <t>y</t>
        </is>
      </c>
      <c r="K225" s="10" t="n">
        <v>2300000</v>
      </c>
      <c r="L225" s="10" t="inlineStr">
        <is>
          <t>y</t>
        </is>
      </c>
      <c r="M225" s="10" t="n">
        <v>103</v>
      </c>
      <c r="N225" s="10" t="n">
        <v>0</v>
      </c>
      <c r="O225" s="10" t="n">
        <v>0</v>
      </c>
    </row>
    <row r="226">
      <c r="A226" s="10" t="inlineStr">
        <is>
          <t>The Robe</t>
        </is>
      </c>
      <c r="B226" s="10" t="inlineStr">
        <is>
          <t>card_225</t>
        </is>
      </c>
      <c r="C226" s="10" t="inlineStr">
        <is>
          <t>Henry Koster</t>
        </is>
      </c>
      <c r="D226" s="10" t="n">
        <v>1953</v>
      </c>
      <c r="E226" s="10" t="n">
        <v>3.21</v>
      </c>
      <c r="I226" s="10" t="n">
        <v>36000000</v>
      </c>
      <c r="J226" s="10" t="inlineStr">
        <is>
          <t>y</t>
        </is>
      </c>
      <c r="K226" s="10" t="n">
        <v>4350000</v>
      </c>
      <c r="L226" s="10" t="inlineStr">
        <is>
          <t>y</t>
        </is>
      </c>
      <c r="M226" s="10" t="n">
        <v>135</v>
      </c>
      <c r="N226" s="10" t="n">
        <v>2</v>
      </c>
      <c r="O226" s="10" t="n">
        <v>0</v>
      </c>
    </row>
    <row r="227">
      <c r="A227" s="10" t="inlineStr">
        <is>
          <t>Demetrius and the Gladiators</t>
        </is>
      </c>
      <c r="B227" s="10" t="inlineStr">
        <is>
          <t>card_226</t>
        </is>
      </c>
      <c r="C227" s="10" t="inlineStr">
        <is>
          <t>Delmer Daves</t>
        </is>
      </c>
      <c r="D227" s="10" t="n">
        <v>1954</v>
      </c>
      <c r="E227" s="10" t="n">
        <v>3.2</v>
      </c>
      <c r="I227" s="10" t="n">
        <v>26000000</v>
      </c>
      <c r="J227" s="10" t="inlineStr">
        <is>
          <t>y</t>
        </is>
      </c>
      <c r="K227" s="10" t="n">
        <v>1990000</v>
      </c>
      <c r="L227" s="10" t="inlineStr">
        <is>
          <t>y</t>
        </is>
      </c>
      <c r="M227" s="10" t="n">
        <v>101</v>
      </c>
      <c r="N227" s="10" t="n">
        <v>0</v>
      </c>
      <c r="O227" s="10" t="n">
        <v>0</v>
      </c>
    </row>
    <row r="228">
      <c r="A228" s="10" t="inlineStr">
        <is>
          <t>The Egyptian</t>
        </is>
      </c>
      <c r="B228" s="10" t="inlineStr">
        <is>
          <t>card_227</t>
        </is>
      </c>
      <c r="C228" s="10" t="inlineStr">
        <is>
          <t>Michael Curtiz</t>
        </is>
      </c>
      <c r="D228" s="10" t="n">
        <v>1954</v>
      </c>
      <c r="E228" s="10" t="n">
        <v>3.16</v>
      </c>
      <c r="I228" s="10" t="n">
        <v>9250000</v>
      </c>
      <c r="J228" s="10" t="inlineStr">
        <is>
          <t>y</t>
        </is>
      </c>
      <c r="K228" s="10" t="n">
        <v>3900000</v>
      </c>
      <c r="L228" s="10" t="inlineStr">
        <is>
          <t>y</t>
        </is>
      </c>
      <c r="M228" s="10" t="n">
        <v>140</v>
      </c>
      <c r="N228" s="10" t="n">
        <v>0</v>
      </c>
      <c r="O228" s="10" t="n">
        <v>1</v>
      </c>
    </row>
    <row r="229">
      <c r="A229" s="10" t="inlineStr">
        <is>
          <t>Sign of the Pagan</t>
        </is>
      </c>
      <c r="B229" s="10" t="inlineStr">
        <is>
          <t>card_228</t>
        </is>
      </c>
      <c r="C229" s="10" t="inlineStr">
        <is>
          <t>Douglas Sirk</t>
        </is>
      </c>
      <c r="D229" s="10" t="n">
        <v>1954</v>
      </c>
      <c r="E229" s="10" t="n">
        <v>3.22</v>
      </c>
      <c r="I229" s="10" t="n">
        <v>6000000</v>
      </c>
      <c r="J229" s="10" t="inlineStr">
        <is>
          <t>y</t>
        </is>
      </c>
      <c r="K229" s="10" t="n">
        <v>1500000</v>
      </c>
      <c r="L229" s="10" t="inlineStr">
        <is>
          <t>y</t>
        </is>
      </c>
      <c r="M229" s="10" t="n">
        <v>92</v>
      </c>
      <c r="N229" s="10" t="n">
        <v>0</v>
      </c>
      <c r="O229" s="10" t="n">
        <v>0</v>
      </c>
    </row>
    <row r="230">
      <c r="A230" s="10" t="inlineStr">
        <is>
          <t>The Silver Chalice</t>
        </is>
      </c>
      <c r="B230" s="10" t="inlineStr">
        <is>
          <t>card_229</t>
        </is>
      </c>
      <c r="C230" s="10" t="inlineStr">
        <is>
          <t>Victor Saville</t>
        </is>
      </c>
      <c r="D230" s="10" t="n">
        <v>1954</v>
      </c>
      <c r="E230" s="10" t="n">
        <v>2.71</v>
      </c>
      <c r="I230" s="10" t="n">
        <v>3200000</v>
      </c>
      <c r="J230" s="10" t="inlineStr">
        <is>
          <t>y</t>
        </is>
      </c>
      <c r="K230" s="10" t="n">
        <v>4500000</v>
      </c>
      <c r="L230" s="10" t="inlineStr">
        <is>
          <t>y</t>
        </is>
      </c>
      <c r="M230" s="10" t="n">
        <v>135</v>
      </c>
      <c r="N230" s="10" t="n">
        <v>0</v>
      </c>
      <c r="O230" s="10" t="n">
        <v>0</v>
      </c>
    </row>
    <row r="231">
      <c r="A231" s="10" t="inlineStr">
        <is>
          <t>Land of the Pharaohs</t>
        </is>
      </c>
      <c r="B231" s="10" t="inlineStr">
        <is>
          <t>card_230</t>
        </is>
      </c>
      <c r="C231" s="10" t="inlineStr">
        <is>
          <t>Howard Hawks</t>
        </is>
      </c>
      <c r="D231" s="10" t="n">
        <v>1955</v>
      </c>
      <c r="E231" s="10" t="n">
        <v>3.34</v>
      </c>
      <c r="I231" s="10" t="n">
        <v>2700000</v>
      </c>
      <c r="J231" s="10" t="inlineStr">
        <is>
          <t>y</t>
        </is>
      </c>
      <c r="K231" s="10" t="n">
        <v>2900000</v>
      </c>
      <c r="L231" s="10" t="inlineStr">
        <is>
          <t>y</t>
        </is>
      </c>
      <c r="M231" s="10" t="n">
        <v>106</v>
      </c>
      <c r="N231" s="10" t="n">
        <v>0</v>
      </c>
      <c r="O231" s="10" t="n">
        <v>0</v>
      </c>
    </row>
    <row r="232">
      <c r="A232" s="10" t="inlineStr">
        <is>
          <t>Helen of Troy</t>
        </is>
      </c>
      <c r="B232" s="10" t="inlineStr">
        <is>
          <t>card_231</t>
        </is>
      </c>
      <c r="C232" s="10" t="inlineStr">
        <is>
          <t>Robert Wise</t>
        </is>
      </c>
      <c r="D232" s="10" t="n">
        <v>1956</v>
      </c>
      <c r="E232" s="10" t="n">
        <v>3.02</v>
      </c>
      <c r="I232" s="10" t="n">
        <v>3200000</v>
      </c>
      <c r="J232" s="10" t="inlineStr">
        <is>
          <t>y</t>
        </is>
      </c>
      <c r="K232" s="10" t="n">
        <v>6000000</v>
      </c>
      <c r="L232" s="10" t="inlineStr">
        <is>
          <t>y</t>
        </is>
      </c>
      <c r="M232" s="10" t="n">
        <v>118</v>
      </c>
      <c r="N232" s="10" t="n">
        <v>0</v>
      </c>
      <c r="O232" s="10" t="n">
        <v>4</v>
      </c>
    </row>
    <row r="233">
      <c r="A233" s="10" t="inlineStr">
        <is>
          <t>Alexander the Great</t>
        </is>
      </c>
      <c r="B233" s="10" t="inlineStr">
        <is>
          <t>card_232</t>
        </is>
      </c>
      <c r="C233" s="10" t="inlineStr">
        <is>
          <t>Robert Rossen</t>
        </is>
      </c>
      <c r="D233" s="10" t="n">
        <v>1956</v>
      </c>
      <c r="E233" s="10" t="n">
        <v>2.9</v>
      </c>
      <c r="I233" s="10" t="n">
        <v>2500000</v>
      </c>
      <c r="J233" s="10" t="inlineStr">
        <is>
          <t>y</t>
        </is>
      </c>
      <c r="K233" s="10" t="n">
        <v>4000000</v>
      </c>
      <c r="L233" s="10" t="inlineStr">
        <is>
          <t>y</t>
        </is>
      </c>
      <c r="M233" s="10" t="n">
        <v>136</v>
      </c>
      <c r="N233" s="10" t="n">
        <v>0</v>
      </c>
      <c r="O233" s="10" t="n">
        <v>1</v>
      </c>
    </row>
    <row r="234">
      <c r="A234" s="10" t="inlineStr">
        <is>
          <t>War and Peace</t>
        </is>
      </c>
      <c r="B234" s="10" t="inlineStr">
        <is>
          <t>card_233</t>
        </is>
      </c>
      <c r="C234" s="10" t="inlineStr">
        <is>
          <t>King Vidor</t>
        </is>
      </c>
      <c r="D234" s="10" t="n">
        <v>1956</v>
      </c>
      <c r="E234" s="10" t="n">
        <v>3.37</v>
      </c>
      <c r="I234" s="10" t="n">
        <v>12250000</v>
      </c>
      <c r="J234" s="10" t="inlineStr">
        <is>
          <t>y</t>
        </is>
      </c>
      <c r="K234" s="10" t="n">
        <v>5000000</v>
      </c>
      <c r="L234" s="10" t="inlineStr">
        <is>
          <t>y</t>
        </is>
      </c>
      <c r="M234" s="10" t="n">
        <v>208</v>
      </c>
      <c r="N234" s="10" t="n">
        <v>0</v>
      </c>
      <c r="O234" s="10" t="n">
        <v>0</v>
      </c>
    </row>
    <row r="235">
      <c r="A235" s="10" t="inlineStr">
        <is>
          <t>The Ten Commandments</t>
        </is>
      </c>
      <c r="B235" s="10" t="inlineStr">
        <is>
          <t>card_234</t>
        </is>
      </c>
      <c r="C235" s="10" t="inlineStr">
        <is>
          <t>Cecil B. DeMille</t>
        </is>
      </c>
      <c r="D235" s="10" t="n">
        <v>1956</v>
      </c>
      <c r="E235" s="10" t="n">
        <v>3.86</v>
      </c>
      <c r="I235" s="10" t="n">
        <v>122700000</v>
      </c>
      <c r="J235" s="10" t="inlineStr">
        <is>
          <t>y</t>
        </is>
      </c>
      <c r="K235" s="10" t="n">
        <v>13000000</v>
      </c>
      <c r="L235" s="10" t="inlineStr">
        <is>
          <t>y</t>
        </is>
      </c>
      <c r="M235" s="10" t="n">
        <v>220</v>
      </c>
      <c r="N235" s="10" t="n">
        <v>1</v>
      </c>
      <c r="O235" s="10" t="n">
        <v>1</v>
      </c>
    </row>
    <row r="236">
      <c r="A236" s="10" t="inlineStr">
        <is>
          <t>The Hunchback of Notre Dame</t>
        </is>
      </c>
      <c r="B236" s="10" t="inlineStr">
        <is>
          <t>card_235</t>
        </is>
      </c>
      <c r="C236" s="10" t="inlineStr">
        <is>
          <t>Jean Delannoy</t>
        </is>
      </c>
      <c r="D236" s="10" t="n">
        <v>1956</v>
      </c>
      <c r="E236" s="10" t="n">
        <v>3.32</v>
      </c>
      <c r="I236" s="10" t="n">
        <v>2250000</v>
      </c>
      <c r="J236" s="10" t="inlineStr">
        <is>
          <t>y</t>
        </is>
      </c>
      <c r="K236" s="10" t="n">
        <v>2000000</v>
      </c>
      <c r="L236" s="10" t="inlineStr">
        <is>
          <t>y</t>
        </is>
      </c>
      <c r="M236" s="10" t="n">
        <v>115</v>
      </c>
      <c r="N236" s="10" t="n">
        <v>0</v>
      </c>
      <c r="O236" s="10" t="n">
        <v>0</v>
      </c>
    </row>
    <row r="237">
      <c r="A237" s="10" t="inlineStr">
        <is>
          <t>The Last Days of Pompeii</t>
        </is>
      </c>
      <c r="B237" s="10" t="inlineStr">
        <is>
          <t>card_236</t>
        </is>
      </c>
      <c r="C237" s="10" t="inlineStr">
        <is>
          <t>Mario Bonnard</t>
        </is>
      </c>
      <c r="D237" s="10" t="n">
        <v>1959</v>
      </c>
      <c r="E237" s="10" t="n">
        <v>2.99</v>
      </c>
      <c r="I237" s="10" t="n">
        <v>3000000</v>
      </c>
      <c r="J237" s="10" t="inlineStr">
        <is>
          <t>y</t>
        </is>
      </c>
      <c r="K237" s="10" t="n">
        <v>1200000</v>
      </c>
      <c r="L237" s="10" t="inlineStr">
        <is>
          <t>y</t>
        </is>
      </c>
      <c r="M237" s="10" t="n">
        <v>100</v>
      </c>
      <c r="N237" s="10" t="n">
        <v>0</v>
      </c>
      <c r="O237" s="10" t="n">
        <v>0</v>
      </c>
    </row>
    <row r="238">
      <c r="A238" s="10" t="inlineStr">
        <is>
          <t>Ben-Hur</t>
        </is>
      </c>
      <c r="B238" s="10" t="inlineStr">
        <is>
          <t>card_237</t>
        </is>
      </c>
      <c r="C238" s="10" t="inlineStr">
        <is>
          <t>William Wyler</t>
        </is>
      </c>
      <c r="D238" s="10" t="n">
        <v>1959</v>
      </c>
      <c r="E238" s="10" t="n">
        <v>4.12</v>
      </c>
      <c r="F238" s="10" t="n">
        <v>87</v>
      </c>
      <c r="I238" s="10" t="n">
        <v>146900000</v>
      </c>
      <c r="J238" s="10" t="inlineStr">
        <is>
          <t>y</t>
        </is>
      </c>
      <c r="K238" s="10" t="n">
        <v>15200000</v>
      </c>
      <c r="L238" s="10" t="inlineStr">
        <is>
          <t>y</t>
        </is>
      </c>
      <c r="M238" s="10" t="n">
        <v>212</v>
      </c>
      <c r="N238" s="10" t="n">
        <v>11</v>
      </c>
      <c r="O238" s="10" t="n">
        <v>3</v>
      </c>
    </row>
    <row r="239">
      <c r="A239" s="10" t="inlineStr">
        <is>
          <t>Solomon and Sheba</t>
        </is>
      </c>
      <c r="B239" s="10" t="inlineStr">
        <is>
          <t>card_238</t>
        </is>
      </c>
      <c r="C239" s="10" t="inlineStr">
        <is>
          <t>King Vidor</t>
        </is>
      </c>
      <c r="D239" s="10" t="n">
        <v>1959</v>
      </c>
      <c r="E239" s="10" t="n">
        <v>3.16</v>
      </c>
      <c r="I239" s="10" t="n">
        <v>12200000</v>
      </c>
      <c r="J239" s="10" t="inlineStr">
        <is>
          <t>y</t>
        </is>
      </c>
      <c r="K239" s="10" t="n">
        <v>5000000</v>
      </c>
      <c r="L239" s="10" t="inlineStr">
        <is>
          <t>y</t>
        </is>
      </c>
      <c r="M239" s="10" t="n">
        <v>141</v>
      </c>
      <c r="N239" s="10" t="n">
        <v>0</v>
      </c>
      <c r="O239" s="10" t="n">
        <v>0</v>
      </c>
    </row>
    <row r="240">
      <c r="A240" s="10" t="inlineStr">
        <is>
          <t>The Human Condition</t>
        </is>
      </c>
      <c r="B240" s="10" t="inlineStr">
        <is>
          <t>card_239</t>
        </is>
      </c>
      <c r="C240" s="10" t="inlineStr">
        <is>
          <t>Masaki Kobayashi</t>
        </is>
      </c>
      <c r="D240" s="10" t="n">
        <v>1959</v>
      </c>
      <c r="E240" s="10" t="n">
        <v>4.58</v>
      </c>
      <c r="I240" s="10" t="n">
        <v>4000000</v>
      </c>
      <c r="J240" s="10" t="inlineStr">
        <is>
          <t>y</t>
        </is>
      </c>
      <c r="K240" s="10" t="n">
        <v>2000000</v>
      </c>
      <c r="L240" s="10" t="inlineStr">
        <is>
          <t>y</t>
        </is>
      </c>
      <c r="M240" s="10" t="n">
        <v>574</v>
      </c>
      <c r="N240" s="10" t="n">
        <v>0</v>
      </c>
      <c r="O240" s="10" t="n">
        <v>0</v>
      </c>
    </row>
    <row r="241">
      <c r="A241" s="10" t="inlineStr">
        <is>
          <t>Knights of the Teutonic Order</t>
        </is>
      </c>
      <c r="B241" s="10" t="inlineStr">
        <is>
          <t>card_240</t>
        </is>
      </c>
      <c r="C241" s="10" t="inlineStr">
        <is>
          <t>Aleksander Ford</t>
        </is>
      </c>
      <c r="D241" s="10" t="n">
        <v>1960</v>
      </c>
      <c r="E241" s="10" t="n">
        <v>3.64</v>
      </c>
      <c r="I241" s="10" t="n">
        <v>6000000</v>
      </c>
      <c r="J241" s="10" t="inlineStr">
        <is>
          <t>y</t>
        </is>
      </c>
      <c r="K241" s="10" t="n">
        <v>2000000</v>
      </c>
      <c r="L241" s="10" t="inlineStr">
        <is>
          <t>y</t>
        </is>
      </c>
      <c r="M241" s="10" t="n">
        <v>166</v>
      </c>
      <c r="N241" s="10" t="n">
        <v>0</v>
      </c>
      <c r="O241" s="10" t="n">
        <v>0</v>
      </c>
    </row>
    <row r="242">
      <c r="A242" s="10" t="inlineStr">
        <is>
          <t>Spartacus</t>
        </is>
      </c>
      <c r="B242" s="10" t="inlineStr">
        <is>
          <t>card_241</t>
        </is>
      </c>
      <c r="C242" s="10" t="inlineStr">
        <is>
          <t>Stanley Kubrick</t>
        </is>
      </c>
      <c r="D242" s="10" t="n">
        <v>1960</v>
      </c>
      <c r="E242" s="10" t="n">
        <v>3.88</v>
      </c>
      <c r="F242" s="10" t="n">
        <v>79</v>
      </c>
      <c r="I242" s="10" t="n">
        <v>60000000</v>
      </c>
      <c r="J242" s="10" t="inlineStr">
        <is>
          <t>y</t>
        </is>
      </c>
      <c r="K242" s="10" t="n">
        <v>12000000</v>
      </c>
      <c r="L242" s="10" t="inlineStr">
        <is>
          <t>y</t>
        </is>
      </c>
      <c r="M242" s="10" t="n">
        <v>197</v>
      </c>
      <c r="N242" s="10" t="n">
        <v>4</v>
      </c>
      <c r="O242" s="10" t="n">
        <v>1</v>
      </c>
    </row>
    <row r="243">
      <c r="A243" s="10" t="inlineStr">
        <is>
          <t>Exodus</t>
        </is>
      </c>
      <c r="B243" s="10" t="inlineStr">
        <is>
          <t>card_242</t>
        </is>
      </c>
      <c r="C243" s="10" t="inlineStr">
        <is>
          <t>Otto Preminger</t>
        </is>
      </c>
      <c r="D243" s="10" t="n">
        <v>1960</v>
      </c>
      <c r="E243" s="10" t="n">
        <v>3.24</v>
      </c>
      <c r="F243" s="10" t="n">
        <v>73</v>
      </c>
      <c r="I243" s="10" t="n">
        <v>20000000</v>
      </c>
      <c r="J243" s="10" t="inlineStr">
        <is>
          <t>y</t>
        </is>
      </c>
      <c r="K243" s="10" t="n">
        <v>4500000</v>
      </c>
      <c r="L243" s="10" t="inlineStr">
        <is>
          <t>y</t>
        </is>
      </c>
      <c r="M243" s="10" t="n">
        <v>208</v>
      </c>
      <c r="N243" s="10" t="n">
        <v>1</v>
      </c>
      <c r="O243" s="10" t="n">
        <v>0</v>
      </c>
    </row>
    <row r="244">
      <c r="A244" s="10" t="inlineStr">
        <is>
          <t>The Story of Ruth</t>
        </is>
      </c>
      <c r="B244" s="10" t="inlineStr">
        <is>
          <t>card_243</t>
        </is>
      </c>
      <c r="C244" s="10" t="inlineStr">
        <is>
          <t>Henry Koster</t>
        </is>
      </c>
      <c r="D244" s="10" t="n">
        <v>1960</v>
      </c>
      <c r="E244" s="10" t="n">
        <v>3.3</v>
      </c>
      <c r="I244" s="10" t="n">
        <v>3000000</v>
      </c>
      <c r="J244" s="10" t="inlineStr">
        <is>
          <t>y</t>
        </is>
      </c>
      <c r="K244" s="10" t="n">
        <v>2930000</v>
      </c>
      <c r="L244" s="10" t="inlineStr">
        <is>
          <t>y</t>
        </is>
      </c>
      <c r="M244" s="10" t="n">
        <v>132</v>
      </c>
      <c r="N244" s="10" t="n">
        <v>0</v>
      </c>
      <c r="O244" s="10" t="n">
        <v>0</v>
      </c>
    </row>
    <row r="245">
      <c r="A245" s="10" t="inlineStr">
        <is>
          <t>King of Kings</t>
        </is>
      </c>
      <c r="B245" s="10" t="inlineStr">
        <is>
          <t>card_244</t>
        </is>
      </c>
      <c r="C245" s="10" t="inlineStr">
        <is>
          <t>Nicholas Ray</t>
        </is>
      </c>
      <c r="D245" s="10" t="n">
        <v>1961</v>
      </c>
      <c r="E245" s="10" t="n">
        <v>3.39</v>
      </c>
      <c r="I245" s="10" t="n">
        <v>13400000</v>
      </c>
      <c r="J245" s="10" t="inlineStr">
        <is>
          <t>y</t>
        </is>
      </c>
      <c r="K245" s="10" t="n">
        <v>7750000</v>
      </c>
      <c r="L245" s="10" t="inlineStr">
        <is>
          <t>y</t>
        </is>
      </c>
      <c r="M245" s="10" t="n">
        <v>171</v>
      </c>
      <c r="N245" s="10" t="n">
        <v>0</v>
      </c>
      <c r="O245" s="10" t="n">
        <v>0</v>
      </c>
    </row>
    <row r="246">
      <c r="A246" s="10" t="inlineStr">
        <is>
          <t>El Cid</t>
        </is>
      </c>
      <c r="B246" s="10" t="inlineStr">
        <is>
          <t>card_245</t>
        </is>
      </c>
      <c r="C246" s="10" t="inlineStr">
        <is>
          <t>Anthony Mann</t>
        </is>
      </c>
      <c r="D246" s="10" t="n">
        <v>1961</v>
      </c>
      <c r="E246" s="10" t="n">
        <v>3.56</v>
      </c>
      <c r="F246" s="10" t="n">
        <v>75</v>
      </c>
      <c r="I246" s="10" t="n">
        <v>26600000</v>
      </c>
      <c r="J246" s="10" t="inlineStr">
        <is>
          <t>y</t>
        </is>
      </c>
      <c r="K246" s="10" t="n">
        <v>8000000</v>
      </c>
      <c r="L246" s="10" t="inlineStr">
        <is>
          <t>y</t>
        </is>
      </c>
      <c r="M246" s="10" t="n">
        <v>184</v>
      </c>
      <c r="N246" s="10" t="n">
        <v>0</v>
      </c>
      <c r="O246" s="10" t="n">
        <v>0</v>
      </c>
    </row>
    <row r="247">
      <c r="A247" s="10" t="inlineStr">
        <is>
          <t>Barabbas</t>
        </is>
      </c>
      <c r="B247" s="10" t="inlineStr">
        <is>
          <t>card_246</t>
        </is>
      </c>
      <c r="C247" s="10" t="inlineStr">
        <is>
          <t>Richard Fleischer</t>
        </is>
      </c>
      <c r="D247" s="10" t="n">
        <v>1961</v>
      </c>
      <c r="E247" s="10" t="n">
        <v>3.56</v>
      </c>
      <c r="I247" s="10" t="n">
        <v>11000000</v>
      </c>
      <c r="J247" s="10" t="inlineStr">
        <is>
          <t>y</t>
        </is>
      </c>
      <c r="K247" s="10" t="n">
        <v>10000000</v>
      </c>
      <c r="L247" s="10" t="inlineStr">
        <is>
          <t>y</t>
        </is>
      </c>
      <c r="M247" s="10" t="n">
        <v>137</v>
      </c>
      <c r="N247" s="10" t="n">
        <v>0</v>
      </c>
      <c r="O247" s="10" t="n">
        <v>0</v>
      </c>
    </row>
    <row r="248">
      <c r="A248" s="10" t="inlineStr">
        <is>
          <t>The Colossus of Rhodes</t>
        </is>
      </c>
      <c r="B248" s="10" t="inlineStr">
        <is>
          <t>card_247</t>
        </is>
      </c>
      <c r="C248" s="10" t="inlineStr">
        <is>
          <t>Sergio Leone</t>
        </is>
      </c>
      <c r="D248" s="10" t="n">
        <v>1961</v>
      </c>
      <c r="E248" s="10" t="n">
        <v>2.9</v>
      </c>
      <c r="I248" s="10" t="n">
        <v>4000000</v>
      </c>
      <c r="J248" s="10" t="inlineStr">
        <is>
          <t>y</t>
        </is>
      </c>
      <c r="K248" s="10" t="n">
        <v>2000000</v>
      </c>
      <c r="L248" s="10" t="inlineStr">
        <is>
          <t>y</t>
        </is>
      </c>
      <c r="M248" s="10" t="n">
        <v>142</v>
      </c>
      <c r="N248" s="10" t="n">
        <v>0</v>
      </c>
      <c r="O248" s="10" t="n">
        <v>0</v>
      </c>
    </row>
    <row r="249">
      <c r="A249" s="10" t="inlineStr">
        <is>
          <t>The Longest Day</t>
        </is>
      </c>
      <c r="B249" s="10" t="inlineStr">
        <is>
          <t>card_248</t>
        </is>
      </c>
      <c r="C249" s="10" t="inlineStr">
        <is>
          <t>Ken Annakin, Andrew Marton, Bernhard Wicki</t>
        </is>
      </c>
      <c r="D249" s="10" t="n">
        <v>1962</v>
      </c>
      <c r="E249" s="10" t="n">
        <v>3.82</v>
      </c>
      <c r="F249" s="10" t="n">
        <v>75</v>
      </c>
      <c r="I249" s="10" t="n">
        <v>50100000</v>
      </c>
      <c r="J249" s="10" t="inlineStr">
        <is>
          <t>y</t>
        </is>
      </c>
      <c r="K249" s="10" t="n">
        <v>7750000</v>
      </c>
      <c r="L249" s="10" t="inlineStr">
        <is>
          <t>y</t>
        </is>
      </c>
      <c r="M249" s="10" t="n">
        <v>178</v>
      </c>
      <c r="N249" s="10" t="n">
        <v>2</v>
      </c>
      <c r="O249" s="10" t="n">
        <v>0</v>
      </c>
    </row>
    <row r="250">
      <c r="A250" s="10" t="inlineStr">
        <is>
          <t>How the West Was Won</t>
        </is>
      </c>
      <c r="B250" s="10" t="inlineStr">
        <is>
          <t>card_249</t>
        </is>
      </c>
      <c r="C250" s="10" t="inlineStr">
        <is>
          <t>Henry Hathaway, John Ford, George Marshall</t>
        </is>
      </c>
      <c r="D250" s="10" t="n">
        <v>1962</v>
      </c>
      <c r="E250" s="10" t="n">
        <v>3.49</v>
      </c>
      <c r="F250" s="10" t="n">
        <v>67</v>
      </c>
      <c r="I250" s="10" t="n">
        <v>50000000</v>
      </c>
      <c r="J250" s="10" t="inlineStr">
        <is>
          <t>y</t>
        </is>
      </c>
      <c r="K250" s="10" t="n">
        <v>14400000</v>
      </c>
      <c r="L250" s="10" t="inlineStr">
        <is>
          <t>y</t>
        </is>
      </c>
      <c r="M250" s="10" t="n">
        <v>164</v>
      </c>
      <c r="N250" s="10" t="n">
        <v>3</v>
      </c>
      <c r="O250" s="10" t="n">
        <v>4</v>
      </c>
    </row>
    <row r="251">
      <c r="A251" s="10" t="inlineStr">
        <is>
          <t>Sodom and Gomorrah</t>
        </is>
      </c>
      <c r="B251" s="10" t="inlineStr">
        <is>
          <t>card_250</t>
        </is>
      </c>
      <c r="C251" s="10" t="inlineStr">
        <is>
          <t>Robert Aldrich</t>
        </is>
      </c>
      <c r="D251" s="10" t="n">
        <v>1962</v>
      </c>
      <c r="E251" s="10" t="n">
        <v>3.05</v>
      </c>
      <c r="I251" s="10" t="n">
        <v>6500000</v>
      </c>
      <c r="J251" s="10" t="inlineStr">
        <is>
          <t>y</t>
        </is>
      </c>
      <c r="K251" s="10" t="n">
        <v>4500000</v>
      </c>
      <c r="L251" s="10" t="inlineStr">
        <is>
          <t>y</t>
        </is>
      </c>
      <c r="M251" s="10" t="n">
        <v>154</v>
      </c>
      <c r="N251" s="10" t="n">
        <v>0</v>
      </c>
      <c r="O251" s="10" t="n">
        <v>0</v>
      </c>
    </row>
    <row r="252">
      <c r="A252" s="10" t="inlineStr">
        <is>
          <t>55 Days at Peking</t>
        </is>
      </c>
      <c r="B252" s="10" t="inlineStr">
        <is>
          <t>card_251</t>
        </is>
      </c>
      <c r="C252" s="10" t="inlineStr">
        <is>
          <t>Nicholas Ray</t>
        </is>
      </c>
      <c r="D252" s="10" t="n">
        <v>1963</v>
      </c>
      <c r="E252" s="10" t="n">
        <v>3.26</v>
      </c>
      <c r="I252" s="10" t="n">
        <v>10000000</v>
      </c>
      <c r="J252" s="10" t="inlineStr">
        <is>
          <t>y</t>
        </is>
      </c>
      <c r="K252" s="10" t="n">
        <v>10000000</v>
      </c>
      <c r="L252" s="10" t="inlineStr">
        <is>
          <t>y</t>
        </is>
      </c>
      <c r="M252" s="10" t="n">
        <v>153</v>
      </c>
      <c r="N252" s="10" t="n">
        <v>0</v>
      </c>
      <c r="O252" s="10" t="n">
        <v>0</v>
      </c>
    </row>
    <row r="253">
      <c r="A253" s="10" t="inlineStr">
        <is>
          <t>Cleopatra</t>
        </is>
      </c>
      <c r="B253" s="10" t="inlineStr">
        <is>
          <t>card_252</t>
        </is>
      </c>
      <c r="C253" s="10" t="inlineStr">
        <is>
          <t>Joseph L. Mankiewicz</t>
        </is>
      </c>
      <c r="D253" s="10" t="n">
        <v>1963</v>
      </c>
      <c r="E253" s="10" t="n">
        <v>3.58</v>
      </c>
      <c r="F253" s="10" t="n">
        <v>66</v>
      </c>
      <c r="I253" s="10" t="n">
        <v>57800000</v>
      </c>
      <c r="J253" s="10" t="inlineStr">
        <is>
          <t>y</t>
        </is>
      </c>
      <c r="K253" s="10" t="n">
        <v>31100000</v>
      </c>
      <c r="L253" s="10" t="inlineStr">
        <is>
          <t>y</t>
        </is>
      </c>
      <c r="M253" s="10" t="n">
        <v>192</v>
      </c>
      <c r="N253" s="10" t="n">
        <v>4</v>
      </c>
      <c r="O253" s="10" t="n">
        <v>4</v>
      </c>
    </row>
    <row r="254">
      <c r="A254" s="10" t="inlineStr">
        <is>
          <t>Kings of the Sun</t>
        </is>
      </c>
      <c r="B254" s="10" t="inlineStr">
        <is>
          <t>card_253</t>
        </is>
      </c>
      <c r="C254" s="10" t="inlineStr">
        <is>
          <t>J. Lee Thompson</t>
        </is>
      </c>
      <c r="D254" s="10" t="n">
        <v>1963</v>
      </c>
      <c r="E254" s="10" t="n">
        <v>3.07</v>
      </c>
      <c r="I254" s="10" t="n">
        <v>4000000</v>
      </c>
      <c r="J254" s="10" t="inlineStr">
        <is>
          <t>y</t>
        </is>
      </c>
      <c r="K254" s="10" t="n">
        <v>4000000</v>
      </c>
      <c r="L254" s="10" t="inlineStr">
        <is>
          <t>y</t>
        </is>
      </c>
      <c r="M254" s="10" t="n">
        <v>108</v>
      </c>
      <c r="N254" s="10" t="n">
        <v>0</v>
      </c>
      <c r="O254" s="10" t="n">
        <v>0</v>
      </c>
    </row>
    <row r="255">
      <c r="A255" s="10" t="inlineStr">
        <is>
          <t>The Fall of the Roman Empire</t>
        </is>
      </c>
      <c r="B255" s="10" t="inlineStr">
        <is>
          <t>card_254</t>
        </is>
      </c>
      <c r="C255" s="10" t="inlineStr">
        <is>
          <t>Anthony Mann</t>
        </is>
      </c>
      <c r="D255" s="10" t="n">
        <v>1964</v>
      </c>
      <c r="E255" s="10" t="n">
        <v>3.39</v>
      </c>
      <c r="I255" s="10" t="n">
        <v>4800000</v>
      </c>
      <c r="J255" s="10" t="inlineStr">
        <is>
          <t>y</t>
        </is>
      </c>
      <c r="K255" s="10" t="n">
        <v>16000000</v>
      </c>
      <c r="L255" s="10" t="inlineStr">
        <is>
          <t>y</t>
        </is>
      </c>
      <c r="M255" s="10" t="n">
        <v>185</v>
      </c>
      <c r="N255" s="10" t="n">
        <v>0</v>
      </c>
      <c r="O255" s="10" t="n">
        <v>0</v>
      </c>
    </row>
    <row r="256">
      <c r="A256" s="10" t="inlineStr">
        <is>
          <t>The Greatest Story Ever Told</t>
        </is>
      </c>
      <c r="B256" s="10" t="inlineStr">
        <is>
          <t>card_255</t>
        </is>
      </c>
      <c r="C256" s="10" t="inlineStr">
        <is>
          <t>George Stevens</t>
        </is>
      </c>
      <c r="D256" s="10" t="n">
        <v>1965</v>
      </c>
      <c r="E256" s="10" t="n">
        <v>3.19</v>
      </c>
      <c r="I256" s="10" t="n">
        <v>15500000</v>
      </c>
      <c r="J256" s="10" t="inlineStr">
        <is>
          <t>y</t>
        </is>
      </c>
      <c r="K256" s="10" t="n">
        <v>20000000</v>
      </c>
      <c r="L256" s="10" t="inlineStr">
        <is>
          <t>y</t>
        </is>
      </c>
      <c r="M256" s="10" t="n">
        <v>199</v>
      </c>
      <c r="N256" s="10" t="n">
        <v>0</v>
      </c>
      <c r="O256" s="10" t="n">
        <v>2</v>
      </c>
    </row>
    <row r="257">
      <c r="A257" s="10" t="inlineStr">
        <is>
          <t>Genghis Khan</t>
        </is>
      </c>
      <c r="B257" s="10" t="inlineStr">
        <is>
          <t>card_256</t>
        </is>
      </c>
      <c r="C257" s="10" t="inlineStr">
        <is>
          <t>Henry Levin</t>
        </is>
      </c>
      <c r="D257" s="10" t="n">
        <v>1965</v>
      </c>
      <c r="E257" s="10" t="n">
        <v>3.02</v>
      </c>
      <c r="I257" s="10" t="n">
        <v>7000000</v>
      </c>
      <c r="J257" s="10" t="inlineStr">
        <is>
          <t>y</t>
        </is>
      </c>
      <c r="K257" s="10" t="n">
        <v>4500000</v>
      </c>
      <c r="L257" s="10" t="inlineStr">
        <is>
          <t>y</t>
        </is>
      </c>
      <c r="M257" s="10" t="n">
        <v>120</v>
      </c>
      <c r="N257" s="10" t="n">
        <v>0</v>
      </c>
      <c r="O257" s="10" t="n">
        <v>0</v>
      </c>
    </row>
    <row r="258">
      <c r="A258" s="10" t="inlineStr">
        <is>
          <t>Doctor Zhivago</t>
        </is>
      </c>
      <c r="B258" s="10" t="inlineStr">
        <is>
          <t>card_257</t>
        </is>
      </c>
      <c r="C258" s="10" t="inlineStr">
        <is>
          <t>David Lean</t>
        </is>
      </c>
      <c r="D258" s="10" t="n">
        <v>1965</v>
      </c>
      <c r="E258" s="10" t="n">
        <v>3.99</v>
      </c>
      <c r="F258" s="10" t="n">
        <v>79</v>
      </c>
      <c r="I258" s="10" t="n">
        <v>111700000</v>
      </c>
      <c r="J258" s="10" t="inlineStr">
        <is>
          <t>y</t>
        </is>
      </c>
      <c r="K258" s="10" t="n">
        <v>11000000</v>
      </c>
      <c r="L258" s="10" t="inlineStr">
        <is>
          <t>y</t>
        </is>
      </c>
      <c r="M258" s="10" t="n">
        <v>193</v>
      </c>
      <c r="N258" s="10" t="n">
        <v>5</v>
      </c>
      <c r="O258" s="10" t="n">
        <v>2</v>
      </c>
    </row>
    <row r="259">
      <c r="A259" s="10" t="inlineStr">
        <is>
          <t>The Bible: In the Beginning...</t>
        </is>
      </c>
      <c r="B259" s="10" t="inlineStr">
        <is>
          <t>card_258</t>
        </is>
      </c>
      <c r="C259" s="10" t="inlineStr">
        <is>
          <t>John Huston</t>
        </is>
      </c>
      <c r="D259" s="10" t="n">
        <v>1966</v>
      </c>
      <c r="E259" s="10" t="n">
        <v>3.09</v>
      </c>
      <c r="I259" s="10" t="n">
        <v>34900000</v>
      </c>
      <c r="J259" s="10" t="inlineStr">
        <is>
          <t>y</t>
        </is>
      </c>
      <c r="K259" s="10" t="n">
        <v>16500000</v>
      </c>
      <c r="L259" s="10" t="inlineStr">
        <is>
          <t>y</t>
        </is>
      </c>
      <c r="M259" s="10" t="n">
        <v>174</v>
      </c>
      <c r="N259" s="10" t="n">
        <v>0</v>
      </c>
      <c r="O259" s="10" t="n">
        <v>2</v>
      </c>
    </row>
    <row r="260">
      <c r="A260" s="10" t="inlineStr">
        <is>
          <t>Hawaii</t>
        </is>
      </c>
      <c r="B260" s="10" t="inlineStr">
        <is>
          <t>card_259</t>
        </is>
      </c>
      <c r="C260" s="10" t="inlineStr">
        <is>
          <t>George Roy Hill</t>
        </is>
      </c>
      <c r="D260" s="10" t="n">
        <v>1966</v>
      </c>
      <c r="E260" s="10" t="n">
        <v>3.03</v>
      </c>
      <c r="I260" s="10" t="n">
        <v>34500000</v>
      </c>
      <c r="J260" s="10" t="inlineStr">
        <is>
          <t>y</t>
        </is>
      </c>
      <c r="K260" s="10" t="n">
        <v>15000000</v>
      </c>
      <c r="L260" s="10" t="inlineStr">
        <is>
          <t>y</t>
        </is>
      </c>
      <c r="M260" s="10" t="n">
        <v>189</v>
      </c>
      <c r="N260" s="10" t="n">
        <v>0</v>
      </c>
      <c r="O260" s="10" t="n">
        <v>1</v>
      </c>
    </row>
    <row r="261">
      <c r="A261" s="10" t="inlineStr">
        <is>
          <t>Pharaoh</t>
        </is>
      </c>
      <c r="B261" s="10" t="inlineStr">
        <is>
          <t>card_260</t>
        </is>
      </c>
      <c r="C261" s="10" t="inlineStr">
        <is>
          <t>Jerzy Kawalerowicz</t>
        </is>
      </c>
      <c r="D261" s="10" t="n">
        <v>1966</v>
      </c>
      <c r="E261" s="10" t="n">
        <v>3.81</v>
      </c>
      <c r="I261" s="10" t="n">
        <v>3000000</v>
      </c>
      <c r="J261" s="10" t="inlineStr">
        <is>
          <t>y</t>
        </is>
      </c>
      <c r="K261" s="10" t="n">
        <v>2000000</v>
      </c>
      <c r="L261" s="10" t="inlineStr">
        <is>
          <t>y</t>
        </is>
      </c>
      <c r="M261" s="10" t="n">
        <v>145</v>
      </c>
      <c r="N261" s="10" t="n">
        <v>0</v>
      </c>
      <c r="O261" s="10" t="n">
        <v>0</v>
      </c>
    </row>
    <row r="262">
      <c r="A262" s="10" t="inlineStr">
        <is>
          <t>Khartoum</t>
        </is>
      </c>
      <c r="B262" s="10" t="inlineStr">
        <is>
          <t>card_261</t>
        </is>
      </c>
      <c r="C262" s="10" t="inlineStr">
        <is>
          <t>Basil Dearden</t>
        </is>
      </c>
      <c r="D262" s="10" t="n">
        <v>1966</v>
      </c>
      <c r="E262" s="10" t="n">
        <v>3.27</v>
      </c>
      <c r="I262" s="10" t="n">
        <v>8000000</v>
      </c>
      <c r="J262" s="10" t="inlineStr">
        <is>
          <t>y</t>
        </is>
      </c>
      <c r="K262" s="10" t="n">
        <v>7000000</v>
      </c>
      <c r="L262" s="10" t="inlineStr">
        <is>
          <t>y</t>
        </is>
      </c>
      <c r="M262" s="10" t="n">
        <v>134</v>
      </c>
      <c r="N262" s="10" t="n">
        <v>0</v>
      </c>
      <c r="O262" s="10" t="n">
        <v>0</v>
      </c>
    </row>
    <row r="263">
      <c r="A263" s="10" t="inlineStr">
        <is>
          <t>War and Peace - UdSSR 4 Parts</t>
        </is>
      </c>
      <c r="B263" s="10" t="inlineStr">
        <is>
          <t>card_262</t>
        </is>
      </c>
      <c r="C263" s="10" t="inlineStr">
        <is>
          <t>Sergei Bondarchuk</t>
        </is>
      </c>
      <c r="D263" s="10" t="n">
        <v>1966</v>
      </c>
      <c r="E263" s="10" t="n">
        <v>4.4</v>
      </c>
      <c r="I263" s="10" t="n">
        <v>12000000</v>
      </c>
      <c r="J263" s="10" t="inlineStr">
        <is>
          <t>y</t>
        </is>
      </c>
      <c r="K263" s="10" t="n">
        <v>9000000</v>
      </c>
      <c r="L263" s="10" t="inlineStr">
        <is>
          <t>y</t>
        </is>
      </c>
      <c r="M263" s="10" t="n">
        <v>431</v>
      </c>
      <c r="N263" s="10" t="n">
        <v>1</v>
      </c>
      <c r="O263" s="10" t="n">
        <v>1</v>
      </c>
    </row>
    <row r="264">
      <c r="A264" s="10" t="inlineStr">
        <is>
          <t>Waterloo</t>
        </is>
      </c>
      <c r="B264" s="10" t="inlineStr">
        <is>
          <t>card_263</t>
        </is>
      </c>
      <c r="C264" s="10" t="inlineStr">
        <is>
          <t>Sergei Bondarchuk</t>
        </is>
      </c>
      <c r="D264" s="10" t="n">
        <v>1970</v>
      </c>
      <c r="E264" s="10" t="n">
        <v>3.94</v>
      </c>
      <c r="I264" s="10" t="n">
        <v>4000000</v>
      </c>
      <c r="J264" s="10" t="inlineStr">
        <is>
          <t>y</t>
        </is>
      </c>
      <c r="K264" s="10" t="n">
        <v>28800000</v>
      </c>
      <c r="L264" s="10" t="inlineStr">
        <is>
          <t>y</t>
        </is>
      </c>
      <c r="M264" s="10" t="n">
        <v>128</v>
      </c>
      <c r="N264" s="10" t="n">
        <v>0</v>
      </c>
      <c r="O264" s="10" t="n">
        <v>1</v>
      </c>
    </row>
    <row r="265">
      <c r="A265" s="10" t="inlineStr">
        <is>
          <t>Ludwig</t>
        </is>
      </c>
      <c r="B265" s="10" t="inlineStr">
        <is>
          <t>card_264</t>
        </is>
      </c>
      <c r="C265" s="10" t="inlineStr">
        <is>
          <t>Luchino Visconti</t>
        </is>
      </c>
      <c r="D265" s="10" t="n">
        <v>1973</v>
      </c>
      <c r="E265" s="10" t="n">
        <v>3.93</v>
      </c>
      <c r="I265" s="10" t="n">
        <v>5000000</v>
      </c>
      <c r="J265" s="10" t="inlineStr">
        <is>
          <t>y</t>
        </is>
      </c>
      <c r="K265" s="10" t="n">
        <v>4400000</v>
      </c>
      <c r="L265" s="10" t="inlineStr">
        <is>
          <t>y</t>
        </is>
      </c>
      <c r="M265" s="10" t="n">
        <v>238</v>
      </c>
      <c r="N265" s="10" t="n">
        <v>0</v>
      </c>
      <c r="O265" s="10" t="n">
        <v>0</v>
      </c>
    </row>
    <row r="266">
      <c r="A266" s="10" t="inlineStr">
        <is>
          <t>1900</t>
        </is>
      </c>
      <c r="B266" s="10" t="inlineStr">
        <is>
          <t>card_265</t>
        </is>
      </c>
      <c r="C266" s="10" t="inlineStr">
        <is>
          <t>Bernardo Bertolucci</t>
        </is>
      </c>
      <c r="D266" s="10" t="n">
        <v>1976</v>
      </c>
      <c r="E266" s="10" t="n">
        <v>3.86</v>
      </c>
      <c r="F266" s="10" t="n">
        <v>78</v>
      </c>
      <c r="I266" s="10" t="n">
        <v>5000000</v>
      </c>
      <c r="J266" s="10" t="inlineStr">
        <is>
          <t>y</t>
        </is>
      </c>
      <c r="K266" s="10" t="n">
        <v>9000000</v>
      </c>
      <c r="L266" s="10" t="inlineStr">
        <is>
          <t>y</t>
        </is>
      </c>
      <c r="M266" s="10" t="n">
        <v>317</v>
      </c>
      <c r="N266" s="10" t="n">
        <v>0</v>
      </c>
      <c r="O266" s="10" t="n">
        <v>2</v>
      </c>
    </row>
    <row r="267">
      <c r="A267" s="10" t="inlineStr">
        <is>
          <t>The Message</t>
        </is>
      </c>
      <c r="B267" s="10" t="inlineStr">
        <is>
          <t>card_266</t>
        </is>
      </c>
      <c r="C267" s="10" t="inlineStr">
        <is>
          <t>Moustapha Akkad</t>
        </is>
      </c>
      <c r="D267" s="10" t="n">
        <v>1976</v>
      </c>
      <c r="E267" s="10" t="n">
        <v>4.22</v>
      </c>
      <c r="I267" s="10" t="n">
        <v>5000000</v>
      </c>
      <c r="J267" s="10" t="inlineStr">
        <is>
          <t>y</t>
        </is>
      </c>
      <c r="K267" s="10" t="n">
        <v>17000000</v>
      </c>
      <c r="L267" s="10" t="inlineStr">
        <is>
          <t>y</t>
        </is>
      </c>
      <c r="M267" s="10" t="n">
        <v>178</v>
      </c>
      <c r="N267" s="10" t="n">
        <v>0</v>
      </c>
      <c r="O267" s="10" t="n">
        <v>0</v>
      </c>
    </row>
    <row r="268">
      <c r="A268" s="10" t="inlineStr">
        <is>
          <t>A Bridge Too Far</t>
        </is>
      </c>
      <c r="B268" s="10" t="inlineStr">
        <is>
          <t>card_267</t>
        </is>
      </c>
      <c r="C268" s="10" t="inlineStr">
        <is>
          <t>Richard Attenborough</t>
        </is>
      </c>
      <c r="D268" s="10" t="n">
        <v>1977</v>
      </c>
      <c r="E268" s="10" t="n">
        <v>3.73</v>
      </c>
      <c r="F268" s="10" t="n">
        <v>72</v>
      </c>
      <c r="I268" s="10" t="n">
        <v>50700000</v>
      </c>
      <c r="J268" s="10" t="inlineStr">
        <is>
          <t>n</t>
        </is>
      </c>
      <c r="K268" s="10" t="n">
        <v>25000000</v>
      </c>
      <c r="L268" s="10" t="inlineStr">
        <is>
          <t>n</t>
        </is>
      </c>
      <c r="M268" s="10" t="n">
        <v>176</v>
      </c>
      <c r="N268" s="10" t="n">
        <v>0</v>
      </c>
      <c r="O268" s="10" t="n">
        <v>2</v>
      </c>
    </row>
    <row r="269">
      <c r="A269" s="10" t="inlineStr">
        <is>
          <t>Heaven's Gate</t>
        </is>
      </c>
      <c r="B269" s="10" t="inlineStr">
        <is>
          <t>card_268</t>
        </is>
      </c>
      <c r="C269" s="10" t="inlineStr">
        <is>
          <t>Michael Cimino</t>
        </is>
      </c>
      <c r="D269" s="10" t="n">
        <v>1980</v>
      </c>
      <c r="E269" s="10" t="n">
        <v>3.78</v>
      </c>
      <c r="F269" s="10" t="n">
        <v>68</v>
      </c>
      <c r="I269" s="10" t="n">
        <v>3500000</v>
      </c>
      <c r="J269" s="10" t="inlineStr">
        <is>
          <t>n</t>
        </is>
      </c>
      <c r="K269" s="10" t="n">
        <v>38000000</v>
      </c>
      <c r="L269" s="10" t="inlineStr">
        <is>
          <t>n</t>
        </is>
      </c>
      <c r="M269" s="10" t="n">
        <v>219</v>
      </c>
      <c r="N269" s="10" t="n">
        <v>0</v>
      </c>
      <c r="O269" s="10" t="n">
        <v>2</v>
      </c>
    </row>
    <row r="270">
      <c r="A270" s="10" t="inlineStr">
        <is>
          <t>Excalibur</t>
        </is>
      </c>
      <c r="B270" s="10" t="inlineStr">
        <is>
          <t>card_269</t>
        </is>
      </c>
      <c r="C270" s="10" t="inlineStr">
        <is>
          <t>John Boorman</t>
        </is>
      </c>
      <c r="D270" s="10" t="n">
        <v>1981</v>
      </c>
      <c r="E270" s="10" t="n">
        <v>3.75</v>
      </c>
      <c r="F270" s="10" t="n">
        <v>75</v>
      </c>
      <c r="I270" s="10" t="n">
        <v>46800000</v>
      </c>
      <c r="J270" s="10" t="inlineStr">
        <is>
          <t>n</t>
        </is>
      </c>
      <c r="K270" s="10" t="n">
        <v>11000000</v>
      </c>
      <c r="L270" s="10" t="inlineStr">
        <is>
          <t>n</t>
        </is>
      </c>
      <c r="M270" s="10" t="n">
        <v>140</v>
      </c>
      <c r="N270" s="10" t="n">
        <v>0</v>
      </c>
      <c r="O270" s="10" t="n">
        <v>0</v>
      </c>
    </row>
    <row r="271">
      <c r="A271" s="10" t="inlineStr">
        <is>
          <t>Reds</t>
        </is>
      </c>
      <c r="B271" s="10" t="inlineStr">
        <is>
          <t>card_270</t>
        </is>
      </c>
      <c r="C271" s="10" t="inlineStr">
        <is>
          <t>Warren Beatty</t>
        </is>
      </c>
      <c r="D271" s="10" t="n">
        <v>1981</v>
      </c>
      <c r="E271" s="10" t="n">
        <v>3.93</v>
      </c>
      <c r="F271" s="10" t="n">
        <v>77</v>
      </c>
      <c r="I271" s="10" t="n">
        <v>40400000</v>
      </c>
      <c r="J271" s="10" t="inlineStr">
        <is>
          <t>n</t>
        </is>
      </c>
      <c r="K271" s="10" t="n">
        <v>32000000</v>
      </c>
      <c r="L271" s="10" t="inlineStr">
        <is>
          <t>n</t>
        </is>
      </c>
      <c r="M271" s="10" t="n">
        <v>195</v>
      </c>
      <c r="N271" s="10" t="n">
        <v>3</v>
      </c>
      <c r="O271" s="10" t="n">
        <v>1</v>
      </c>
    </row>
    <row r="272">
      <c r="A272" s="10" t="inlineStr">
        <is>
          <t>Gandhi</t>
        </is>
      </c>
      <c r="B272" s="10" t="inlineStr">
        <is>
          <t>card_271</t>
        </is>
      </c>
      <c r="C272" s="10" t="inlineStr">
        <is>
          <t>Richard Attenborough</t>
        </is>
      </c>
      <c r="D272" s="10" t="n">
        <v>1982</v>
      </c>
      <c r="E272" s="10" t="n">
        <v>3.75</v>
      </c>
      <c r="F272" s="10" t="n">
        <v>81</v>
      </c>
      <c r="I272" s="10" t="n">
        <v>127800000</v>
      </c>
      <c r="J272" s="10" t="inlineStr">
        <is>
          <t>n</t>
        </is>
      </c>
      <c r="K272" s="10" t="n">
        <v>22000000</v>
      </c>
      <c r="L272" s="10" t="inlineStr">
        <is>
          <t>n</t>
        </is>
      </c>
      <c r="M272" s="10" t="n">
        <v>191</v>
      </c>
      <c r="N272" s="10" t="n">
        <v>8</v>
      </c>
      <c r="O272" s="10" t="n">
        <v>2</v>
      </c>
    </row>
    <row r="273">
      <c r="A273" s="10" t="inlineStr">
        <is>
          <t>Dune</t>
        </is>
      </c>
      <c r="B273" s="10" t="inlineStr">
        <is>
          <t>card_272</t>
        </is>
      </c>
      <c r="C273" s="10" t="inlineStr">
        <is>
          <t>David Lynch</t>
        </is>
      </c>
      <c r="D273" s="10" t="n">
        <v>1984</v>
      </c>
      <c r="E273" s="10" t="n">
        <v>2.85</v>
      </c>
      <c r="F273" s="10" t="n">
        <v>63</v>
      </c>
      <c r="I273" s="10" t="n">
        <v>30900000</v>
      </c>
      <c r="J273" s="10" t="inlineStr">
        <is>
          <t>n</t>
        </is>
      </c>
      <c r="K273" s="10" t="n">
        <v>41000000</v>
      </c>
      <c r="L273" s="10" t="inlineStr">
        <is>
          <t>n</t>
        </is>
      </c>
      <c r="M273" s="10" t="n">
        <v>137</v>
      </c>
      <c r="N273" s="10" t="n">
        <v>0</v>
      </c>
      <c r="O273" s="10" t="n">
        <v>0</v>
      </c>
    </row>
    <row r="274">
      <c r="A274" s="10" t="inlineStr">
        <is>
          <t>King David</t>
        </is>
      </c>
      <c r="B274" s="10" t="inlineStr">
        <is>
          <t>card_273</t>
        </is>
      </c>
      <c r="C274" s="10" t="inlineStr">
        <is>
          <t>Bruce Beresford</t>
        </is>
      </c>
      <c r="D274" s="10" t="n">
        <v>1985</v>
      </c>
      <c r="E274" s="10" t="n">
        <v>2.92</v>
      </c>
      <c r="I274" s="10" t="n">
        <v>5111099</v>
      </c>
      <c r="J274" s="10" t="inlineStr">
        <is>
          <t>n</t>
        </is>
      </c>
      <c r="K274" s="10" t="n">
        <v>21000000</v>
      </c>
      <c r="L274" s="10" t="inlineStr">
        <is>
          <t>n</t>
        </is>
      </c>
      <c r="M274" s="10" t="n">
        <v>114</v>
      </c>
      <c r="N274" s="10" t="n">
        <v>0</v>
      </c>
      <c r="O274" s="10" t="n">
        <v>0</v>
      </c>
    </row>
    <row r="275">
      <c r="A275" s="10" t="inlineStr">
        <is>
          <t>The Last Emperor</t>
        </is>
      </c>
      <c r="B275" s="10" t="inlineStr">
        <is>
          <t>card_274</t>
        </is>
      </c>
      <c r="C275" s="10" t="inlineStr">
        <is>
          <t>Bernardo Bertolucci</t>
        </is>
      </c>
      <c r="D275" s="10" t="n">
        <v>1987</v>
      </c>
      <c r="E275" s="10" t="n">
        <v>3.94</v>
      </c>
      <c r="F275" s="10" t="n">
        <v>81</v>
      </c>
      <c r="I275" s="10" t="n">
        <v>44000000</v>
      </c>
      <c r="J275" s="10" t="inlineStr">
        <is>
          <t>n</t>
        </is>
      </c>
      <c r="K275" s="10" t="n">
        <v>23800000</v>
      </c>
      <c r="L275" s="10" t="inlineStr">
        <is>
          <t>n</t>
        </is>
      </c>
      <c r="M275" s="10" t="n">
        <v>163</v>
      </c>
      <c r="N275" s="10" t="n">
        <v>9</v>
      </c>
      <c r="O275" s="10" t="n">
        <v>2</v>
      </c>
    </row>
    <row r="276">
      <c r="A276" s="10" t="inlineStr">
        <is>
          <t>La Révolution française</t>
        </is>
      </c>
      <c r="B276" s="10" t="inlineStr">
        <is>
          <t>card_275</t>
        </is>
      </c>
      <c r="C276" s="10" t="inlineStr">
        <is>
          <t>Robert Enrico, Richard T. Heffron</t>
        </is>
      </c>
      <c r="D276" s="10" t="n">
        <v>1989</v>
      </c>
      <c r="E276" s="10" t="n">
        <v>3.8</v>
      </c>
      <c r="I276" s="10" t="n">
        <v>4800000</v>
      </c>
      <c r="J276" s="10" t="inlineStr">
        <is>
          <t>y</t>
        </is>
      </c>
      <c r="K276" s="10" t="n">
        <v>45000000</v>
      </c>
      <c r="L276" s="10" t="inlineStr">
        <is>
          <t>y</t>
        </is>
      </c>
      <c r="M276" s="10" t="n">
        <v>360</v>
      </c>
      <c r="N276" s="10" t="n">
        <v>0</v>
      </c>
      <c r="O276" s="10" t="n">
        <v>0</v>
      </c>
    </row>
    <row r="277">
      <c r="A277" s="10" t="inlineStr">
        <is>
          <t>Dances with Wolves</t>
        </is>
      </c>
      <c r="B277" s="10" t="inlineStr">
        <is>
          <t>card_276</t>
        </is>
      </c>
      <c r="C277" s="10" t="inlineStr">
        <is>
          <t>Kevin Costner</t>
        </is>
      </c>
      <c r="D277" s="10" t="n">
        <v>1990</v>
      </c>
      <c r="E277" s="10" t="n">
        <v>3.94</v>
      </c>
      <c r="F277" s="10" t="n">
        <v>81</v>
      </c>
      <c r="I277" s="10" t="n">
        <v>424200000</v>
      </c>
      <c r="J277" s="10" t="inlineStr">
        <is>
          <t>n</t>
        </is>
      </c>
      <c r="K277" s="10" t="n">
        <v>22000000</v>
      </c>
      <c r="L277" s="10" t="inlineStr">
        <is>
          <t>n</t>
        </is>
      </c>
      <c r="M277" s="10" t="n">
        <v>181</v>
      </c>
      <c r="N277" s="10" t="n">
        <v>7</v>
      </c>
      <c r="O277" s="10" t="n">
        <v>2</v>
      </c>
    </row>
    <row r="278">
      <c r="A278" s="10" t="inlineStr">
        <is>
          <t>1492: Conquest of Paradise</t>
        </is>
      </c>
      <c r="B278" s="10" t="inlineStr">
        <is>
          <t>card_277</t>
        </is>
      </c>
      <c r="C278" s="10" t="inlineStr">
        <is>
          <t>Ridley Scott</t>
        </is>
      </c>
      <c r="D278" s="10" t="n">
        <v>1992</v>
      </c>
      <c r="E278" s="10" t="n">
        <v>2.88</v>
      </c>
      <c r="F278" s="10" t="n">
        <v>57</v>
      </c>
      <c r="I278" s="10" t="n">
        <v>59000000</v>
      </c>
      <c r="J278" s="10" t="inlineStr">
        <is>
          <t>y</t>
        </is>
      </c>
      <c r="K278" s="10" t="n">
        <v>47000000</v>
      </c>
      <c r="L278" s="10" t="inlineStr">
        <is>
          <t>n</t>
        </is>
      </c>
      <c r="M278" s="10" t="n">
        <v>156</v>
      </c>
      <c r="N278" s="10" t="n">
        <v>0</v>
      </c>
      <c r="O278" s="10" t="n">
        <v>0</v>
      </c>
    </row>
    <row r="279">
      <c r="A279" s="10" t="inlineStr">
        <is>
          <t>The Last of the Mohicans</t>
        </is>
      </c>
      <c r="B279" s="10" t="inlineStr">
        <is>
          <t>card_278</t>
        </is>
      </c>
      <c r="C279" s="10" t="inlineStr">
        <is>
          <t>Michael Mann</t>
        </is>
      </c>
      <c r="D279" s="10" t="n">
        <v>1992</v>
      </c>
      <c r="E279" s="10" t="n">
        <v>3.69</v>
      </c>
      <c r="F279" s="10" t="n">
        <v>78</v>
      </c>
      <c r="I279" s="10" t="n">
        <v>143000000</v>
      </c>
      <c r="J279" s="10" t="inlineStr">
        <is>
          <t>n</t>
        </is>
      </c>
      <c r="K279" s="10" t="n">
        <v>40000000</v>
      </c>
      <c r="L279" s="10" t="inlineStr">
        <is>
          <t>n</t>
        </is>
      </c>
      <c r="M279" s="10" t="n">
        <v>112</v>
      </c>
      <c r="N279" s="10" t="n">
        <v>1</v>
      </c>
      <c r="O279" s="10" t="n">
        <v>0</v>
      </c>
    </row>
    <row r="280">
      <c r="A280" s="10" t="inlineStr">
        <is>
          <t>Gettysburg</t>
        </is>
      </c>
      <c r="B280" s="10" t="inlineStr">
        <is>
          <t>card_279</t>
        </is>
      </c>
      <c r="C280" s="10" t="inlineStr">
        <is>
          <t>Ronald F. Maxwell</t>
        </is>
      </c>
      <c r="D280" s="10" t="n">
        <v>1993</v>
      </c>
      <c r="E280" s="10" t="n">
        <v>3.67</v>
      </c>
      <c r="I280" s="10" t="n">
        <v>12700000</v>
      </c>
      <c r="J280" s="10" t="inlineStr">
        <is>
          <t>n</t>
        </is>
      </c>
      <c r="K280" s="10" t="n">
        <v>20000000</v>
      </c>
      <c r="L280" s="10" t="inlineStr">
        <is>
          <t>n</t>
        </is>
      </c>
      <c r="M280" s="10" t="n">
        <v>254</v>
      </c>
      <c r="N280" s="10" t="n">
        <v>0</v>
      </c>
      <c r="O280" s="10" t="n">
        <v>0</v>
      </c>
    </row>
    <row r="281">
      <c r="A281" s="10" t="inlineStr">
        <is>
          <t>Braveheart</t>
        </is>
      </c>
      <c r="B281" s="10" t="inlineStr">
        <is>
          <t>card_280</t>
        </is>
      </c>
      <c r="C281" s="10" t="inlineStr">
        <is>
          <t>Mel Gibson</t>
        </is>
      </c>
      <c r="D281" s="10" t="n">
        <v>1995</v>
      </c>
      <c r="E281" s="10" t="n">
        <v>3.93</v>
      </c>
      <c r="F281" s="10" t="n">
        <v>81</v>
      </c>
      <c r="I281" s="10" t="n">
        <v>209000000</v>
      </c>
      <c r="J281" s="10" t="inlineStr">
        <is>
          <t>n</t>
        </is>
      </c>
      <c r="K281" s="10" t="n">
        <v>62000000</v>
      </c>
      <c r="L281" s="10" t="inlineStr">
        <is>
          <t>n</t>
        </is>
      </c>
      <c r="M281" s="10" t="n">
        <v>177</v>
      </c>
      <c r="N281" s="10" t="n">
        <v>5</v>
      </c>
      <c r="O281" s="10" t="n">
        <v>2</v>
      </c>
    </row>
    <row r="282">
      <c r="A282" s="10" t="inlineStr">
        <is>
          <t>Titanic</t>
        </is>
      </c>
      <c r="B282" s="10" t="inlineStr">
        <is>
          <t>card_281</t>
        </is>
      </c>
      <c r="C282" s="10" t="inlineStr">
        <is>
          <t>James Cameron</t>
        </is>
      </c>
      <c r="D282" s="10" t="n">
        <v>1997</v>
      </c>
      <c r="E282" s="10" t="n">
        <v>3.84</v>
      </c>
      <c r="F282" s="10" t="n">
        <v>83</v>
      </c>
      <c r="I282" s="10" t="n">
        <v>2264000000</v>
      </c>
      <c r="J282" s="10" t="inlineStr">
        <is>
          <t>n</t>
        </is>
      </c>
      <c r="K282" s="10" t="n">
        <v>200000000</v>
      </c>
      <c r="L282" s="10" t="inlineStr">
        <is>
          <t>n</t>
        </is>
      </c>
      <c r="M282" s="10" t="n">
        <v>195</v>
      </c>
      <c r="N282" s="10" t="n">
        <v>11</v>
      </c>
      <c r="O282" s="10" t="n">
        <v>3</v>
      </c>
    </row>
    <row r="283">
      <c r="A283" s="10" t="inlineStr">
        <is>
          <t>With Fire and Sword</t>
        </is>
      </c>
      <c r="B283" s="10" t="inlineStr">
        <is>
          <t>card_282</t>
        </is>
      </c>
      <c r="C283" s="10" t="inlineStr">
        <is>
          <t>Jerzy Hoffman</t>
        </is>
      </c>
      <c r="D283" s="10" t="n">
        <v>1999</v>
      </c>
      <c r="E283" s="10" t="n">
        <v>3.67</v>
      </c>
      <c r="I283" s="10" t="n">
        <v>26366071</v>
      </c>
      <c r="J283" s="10" t="inlineStr">
        <is>
          <t>y</t>
        </is>
      </c>
      <c r="K283" s="10" t="n">
        <v>8000000</v>
      </c>
      <c r="L283" s="10" t="inlineStr">
        <is>
          <t>y</t>
        </is>
      </c>
      <c r="M283" s="10" t="n">
        <v>175</v>
      </c>
      <c r="N283" s="10" t="n">
        <v>0</v>
      </c>
      <c r="O283" s="10" t="n">
        <v>0</v>
      </c>
    </row>
    <row r="284">
      <c r="A284" s="10" t="inlineStr">
        <is>
          <t>The Messenger: The Story of Joan of Arc</t>
        </is>
      </c>
      <c r="B284" s="10" t="inlineStr">
        <is>
          <t>card_283</t>
        </is>
      </c>
      <c r="C284" s="10" t="inlineStr">
        <is>
          <t>Luc Besson</t>
        </is>
      </c>
      <c r="D284" s="10" t="n">
        <v>1999</v>
      </c>
      <c r="E284" s="10" t="n">
        <v>3.21</v>
      </c>
      <c r="F284" s="10" t="n">
        <v>64</v>
      </c>
      <c r="I284" s="10" t="n">
        <v>67000000</v>
      </c>
      <c r="J284" s="10" t="inlineStr">
        <is>
          <t>n</t>
        </is>
      </c>
      <c r="K284" s="10" t="n">
        <v>60000000</v>
      </c>
      <c r="L284" s="10" t="inlineStr">
        <is>
          <t>n</t>
        </is>
      </c>
      <c r="M284" s="10" t="n">
        <v>158</v>
      </c>
      <c r="N284" s="10" t="n">
        <v>0</v>
      </c>
      <c r="O284" s="10" t="n">
        <v>0</v>
      </c>
    </row>
    <row r="285">
      <c r="A285" s="10" t="inlineStr">
        <is>
          <t>The Patriot</t>
        </is>
      </c>
      <c r="B285" s="10" t="inlineStr">
        <is>
          <t>card_284</t>
        </is>
      </c>
      <c r="C285" s="10" t="inlineStr">
        <is>
          <t>Roland Emmerich</t>
        </is>
      </c>
      <c r="D285" s="10" t="n">
        <v>2000</v>
      </c>
      <c r="E285" s="10" t="n">
        <v>3.45</v>
      </c>
      <c r="F285" s="10" t="n">
        <v>72</v>
      </c>
      <c r="I285" s="10" t="n">
        <v>215000000</v>
      </c>
      <c r="J285" s="10" t="inlineStr">
        <is>
          <t>n</t>
        </is>
      </c>
      <c r="K285" s="10" t="n">
        <v>110000000</v>
      </c>
      <c r="L285" s="10" t="inlineStr">
        <is>
          <t>n</t>
        </is>
      </c>
      <c r="M285" s="10" t="n">
        <v>165</v>
      </c>
      <c r="N285" s="10" t="n">
        <v>0</v>
      </c>
      <c r="O285" s="10" t="n">
        <v>0</v>
      </c>
    </row>
    <row r="286">
      <c r="A286" s="10" t="inlineStr">
        <is>
          <t>Gangs of New York</t>
        </is>
      </c>
      <c r="B286" s="10" t="inlineStr">
        <is>
          <t>card_285</t>
        </is>
      </c>
      <c r="C286" s="10" t="inlineStr">
        <is>
          <t>Martin Scorsese</t>
        </is>
      </c>
      <c r="D286" s="10" t="n">
        <v>2002</v>
      </c>
      <c r="E286" s="10" t="n">
        <v>3.73</v>
      </c>
      <c r="F286" s="10" t="n">
        <v>76</v>
      </c>
      <c r="I286" s="10" t="n">
        <v>193800000</v>
      </c>
      <c r="J286" s="10" t="inlineStr">
        <is>
          <t>n</t>
        </is>
      </c>
      <c r="K286" s="10" t="n">
        <v>100000000</v>
      </c>
      <c r="L286" s="10" t="inlineStr">
        <is>
          <t>n</t>
        </is>
      </c>
      <c r="M286" s="10" t="n">
        <v>168</v>
      </c>
      <c r="N286" s="10" t="n">
        <v>0</v>
      </c>
      <c r="O286" s="10" t="n">
        <v>1</v>
      </c>
    </row>
    <row r="287">
      <c r="A287" s="10" t="inlineStr">
        <is>
          <t>The Last Samurai</t>
        </is>
      </c>
      <c r="B287" s="10" t="inlineStr">
        <is>
          <t>card_286</t>
        </is>
      </c>
      <c r="C287" s="10" t="inlineStr">
        <is>
          <t>Edward Zwick</t>
        </is>
      </c>
      <c r="D287" s="10" t="n">
        <v>2003</v>
      </c>
      <c r="E287" s="10" t="n">
        <v>3.8</v>
      </c>
      <c r="F287" s="10" t="n">
        <v>82</v>
      </c>
      <c r="I287" s="10" t="n">
        <v>456800000</v>
      </c>
      <c r="J287" s="10" t="inlineStr">
        <is>
          <t>n</t>
        </is>
      </c>
      <c r="K287" s="10" t="n">
        <v>140000000</v>
      </c>
      <c r="L287" s="10" t="inlineStr">
        <is>
          <t>n</t>
        </is>
      </c>
      <c r="M287" s="10" t="n">
        <v>154</v>
      </c>
      <c r="N287" s="10" t="n">
        <v>0</v>
      </c>
      <c r="O287" s="10" t="n">
        <v>1</v>
      </c>
    </row>
    <row r="288">
      <c r="A288" s="10" t="inlineStr">
        <is>
          <t>Gods and Generals</t>
        </is>
      </c>
      <c r="B288" s="10" t="inlineStr">
        <is>
          <t>card_287</t>
        </is>
      </c>
      <c r="C288" s="10" t="inlineStr">
        <is>
          <t>Ronald F. Maxwell</t>
        </is>
      </c>
      <c r="D288" s="10" t="n">
        <v>2003</v>
      </c>
      <c r="E288" s="10" t="n">
        <v>2.68</v>
      </c>
      <c r="F288" s="10" t="n">
        <v>62</v>
      </c>
      <c r="I288" s="10" t="n">
        <v>12800000</v>
      </c>
      <c r="J288" s="10" t="inlineStr">
        <is>
          <t>n</t>
        </is>
      </c>
      <c r="K288" s="10" t="n">
        <v>56000000</v>
      </c>
      <c r="L288" s="10" t="inlineStr">
        <is>
          <t>n</t>
        </is>
      </c>
      <c r="M288" s="10" t="n">
        <v>219</v>
      </c>
      <c r="N288" s="10" t="n">
        <v>0</v>
      </c>
      <c r="O288" s="10" t="n">
        <v>0</v>
      </c>
    </row>
    <row r="289">
      <c r="A289" s="10" t="inlineStr">
        <is>
          <t>Troy</t>
        </is>
      </c>
      <c r="B289" s="10" t="inlineStr">
        <is>
          <t>card_288</t>
        </is>
      </c>
      <c r="C289" s="10" t="inlineStr">
        <is>
          <t>Wolfgang Petersen</t>
        </is>
      </c>
      <c r="D289" s="10" t="n">
        <v>2004</v>
      </c>
      <c r="E289" s="10" t="n">
        <v>3.51</v>
      </c>
      <c r="F289" s="10" t="n">
        <v>77</v>
      </c>
      <c r="I289" s="10" t="n">
        <v>497400000</v>
      </c>
      <c r="J289" s="10" t="inlineStr">
        <is>
          <t>n</t>
        </is>
      </c>
      <c r="K289" s="10" t="n">
        <v>175000000</v>
      </c>
      <c r="L289" s="10" t="inlineStr">
        <is>
          <t>n</t>
        </is>
      </c>
      <c r="M289" s="10" t="n">
        <v>162</v>
      </c>
      <c r="N289" s="10" t="n">
        <v>0</v>
      </c>
      <c r="O289" s="10" t="n">
        <v>0</v>
      </c>
    </row>
    <row r="290">
      <c r="A290" s="10" t="inlineStr">
        <is>
          <t>Alexander</t>
        </is>
      </c>
      <c r="B290" s="10" t="inlineStr">
        <is>
          <t>card_289</t>
        </is>
      </c>
      <c r="C290" s="10" t="inlineStr">
        <is>
          <t>Oliver Stone</t>
        </is>
      </c>
      <c r="D290" s="10" t="n">
        <v>2004</v>
      </c>
      <c r="E290" s="10" t="n">
        <v>2.82</v>
      </c>
      <c r="F290" s="10" t="n">
        <v>57</v>
      </c>
      <c r="I290" s="10" t="n">
        <v>167300000</v>
      </c>
      <c r="J290" s="10" t="inlineStr">
        <is>
          <t>n</t>
        </is>
      </c>
      <c r="K290" s="10" t="n">
        <v>155000000</v>
      </c>
      <c r="L290" s="10" t="inlineStr">
        <is>
          <t>n</t>
        </is>
      </c>
      <c r="M290" s="10" t="n">
        <v>175</v>
      </c>
      <c r="N290" s="10" t="n">
        <v>0</v>
      </c>
      <c r="O290" s="10" t="n">
        <v>3</v>
      </c>
    </row>
    <row r="291">
      <c r="A291" s="10" t="inlineStr">
        <is>
          <t>Kingdom of Heaven</t>
        </is>
      </c>
      <c r="B291" s="10" t="inlineStr">
        <is>
          <t>card_290</t>
        </is>
      </c>
      <c r="C291" s="10" t="inlineStr">
        <is>
          <t>Ridley Scott</t>
        </is>
      </c>
      <c r="D291" s="10" t="n">
        <v>2005</v>
      </c>
      <c r="E291" s="10" t="n">
        <v>3.74</v>
      </c>
      <c r="F291" s="10" t="n">
        <v>76</v>
      </c>
      <c r="I291" s="10" t="n">
        <v>218100000</v>
      </c>
      <c r="J291" s="10" t="inlineStr">
        <is>
          <t>n</t>
        </is>
      </c>
      <c r="K291" s="10" t="n">
        <v>130000000</v>
      </c>
      <c r="L291" s="10" t="inlineStr">
        <is>
          <t>n</t>
        </is>
      </c>
      <c r="M291" s="10" t="n">
        <v>144</v>
      </c>
      <c r="N291" s="10" t="n">
        <v>0</v>
      </c>
      <c r="O291" s="10" t="n">
        <v>0</v>
      </c>
    </row>
    <row r="292">
      <c r="A292" s="10" t="inlineStr">
        <is>
          <t>Australia</t>
        </is>
      </c>
      <c r="B292" s="10" t="inlineStr">
        <is>
          <t>card_291</t>
        </is>
      </c>
      <c r="C292" s="10" t="inlineStr">
        <is>
          <t>Baz Luhrmann</t>
        </is>
      </c>
      <c r="D292" s="10" t="n">
        <v>2008</v>
      </c>
      <c r="E292" s="10" t="n">
        <v>2.94</v>
      </c>
      <c r="F292" s="10" t="n">
        <v>64</v>
      </c>
      <c r="I292" s="10" t="n">
        <v>211800000</v>
      </c>
      <c r="J292" s="10" t="inlineStr">
        <is>
          <t>n</t>
        </is>
      </c>
      <c r="K292" s="10" t="n">
        <v>130000000</v>
      </c>
      <c r="L292" s="10" t="inlineStr">
        <is>
          <t>n</t>
        </is>
      </c>
      <c r="M292" s="10" t="n">
        <v>165</v>
      </c>
      <c r="N292" s="10" t="n">
        <v>0</v>
      </c>
      <c r="O292" s="10" t="n">
        <v>0</v>
      </c>
    </row>
    <row r="293">
      <c r="A293" s="10" t="inlineStr">
        <is>
          <t>10,000 BC</t>
        </is>
      </c>
      <c r="B293" s="10" t="inlineStr">
        <is>
          <t>card_292</t>
        </is>
      </c>
      <c r="C293" s="10" t="inlineStr">
        <is>
          <t>Roland Emmerich</t>
        </is>
      </c>
      <c r="D293" s="10" t="n">
        <v>2008</v>
      </c>
      <c r="E293" s="10" t="n">
        <v>2.1</v>
      </c>
      <c r="F293" s="10" t="n">
        <v>43</v>
      </c>
      <c r="I293" s="10" t="n">
        <v>269800000</v>
      </c>
      <c r="J293" s="10" t="inlineStr">
        <is>
          <t>n</t>
        </is>
      </c>
      <c r="K293" s="10" t="n">
        <v>105000000</v>
      </c>
      <c r="L293" s="10" t="inlineStr">
        <is>
          <t>n</t>
        </is>
      </c>
      <c r="M293" s="10" t="n">
        <v>109</v>
      </c>
      <c r="N293" s="10" t="n">
        <v>0</v>
      </c>
      <c r="O293" s="10" t="n">
        <v>0</v>
      </c>
    </row>
    <row r="294">
      <c r="A294" s="10" t="inlineStr">
        <is>
          <t>Agora</t>
        </is>
      </c>
      <c r="B294" s="10" t="inlineStr">
        <is>
          <t>card_293</t>
        </is>
      </c>
      <c r="C294" s="10" t="inlineStr">
        <is>
          <t>Alejandro Amenábar</t>
        </is>
      </c>
      <c r="D294" s="10" t="n">
        <v>2009</v>
      </c>
      <c r="E294" s="10" t="n">
        <v>3.39</v>
      </c>
      <c r="F294" s="10" t="n">
        <v>72</v>
      </c>
      <c r="I294" s="10" t="n">
        <v>39000000</v>
      </c>
      <c r="J294" s="10" t="inlineStr">
        <is>
          <t>n</t>
        </is>
      </c>
      <c r="K294" s="10" t="n">
        <v>70000000</v>
      </c>
      <c r="L294" s="10" t="inlineStr">
        <is>
          <t>y</t>
        </is>
      </c>
      <c r="M294" s="10" t="n">
        <v>126</v>
      </c>
      <c r="N294" s="10" t="n">
        <v>0</v>
      </c>
      <c r="O294" s="10" t="n">
        <v>1</v>
      </c>
    </row>
    <row r="295">
      <c r="A295" s="10" t="inlineStr">
        <is>
          <t>Lincoln</t>
        </is>
      </c>
      <c r="B295" s="10" t="inlineStr">
        <is>
          <t>card_294</t>
        </is>
      </c>
      <c r="C295" s="10" t="inlineStr">
        <is>
          <t>Steven Spielberg</t>
        </is>
      </c>
      <c r="D295" s="10" t="n">
        <v>2012</v>
      </c>
      <c r="E295" s="10" t="n">
        <v>3.59</v>
      </c>
      <c r="F295" s="10" t="n">
        <v>74</v>
      </c>
      <c r="I295" s="10" t="n">
        <v>275300000</v>
      </c>
      <c r="J295" s="10" t="inlineStr">
        <is>
          <t>n</t>
        </is>
      </c>
      <c r="K295" s="10" t="n">
        <v>65000000</v>
      </c>
      <c r="L295" s="10" t="inlineStr">
        <is>
          <t>n</t>
        </is>
      </c>
      <c r="M295" s="10" t="n">
        <v>150</v>
      </c>
      <c r="N295" s="10" t="n">
        <v>2</v>
      </c>
      <c r="O295" s="10" t="n">
        <v>3</v>
      </c>
    </row>
    <row r="296">
      <c r="A296" s="10" t="inlineStr">
        <is>
          <t>Exodus: Gods and Kings</t>
        </is>
      </c>
      <c r="B296" s="10" t="inlineStr">
        <is>
          <t>card_295</t>
        </is>
      </c>
      <c r="C296" s="10" t="inlineStr">
        <is>
          <t>Ridley Scott</t>
        </is>
      </c>
      <c r="D296" s="10" t="n">
        <v>2014</v>
      </c>
      <c r="E296" s="10" t="n">
        <v>2.53</v>
      </c>
      <c r="F296" s="10" t="n">
        <v>49</v>
      </c>
      <c r="I296" s="10" t="n">
        <v>268200000</v>
      </c>
      <c r="J296" s="10" t="inlineStr">
        <is>
          <t>n</t>
        </is>
      </c>
      <c r="K296" s="10" t="n">
        <v>175000000</v>
      </c>
      <c r="L296" s="10" t="inlineStr">
        <is>
          <t>n</t>
        </is>
      </c>
      <c r="M296" s="10" t="n">
        <v>150</v>
      </c>
      <c r="N296" s="10" t="n">
        <v>0</v>
      </c>
      <c r="O296" s="10" t="n">
        <v>0</v>
      </c>
    </row>
    <row r="297">
      <c r="A297" s="10" t="inlineStr">
        <is>
          <t>Pompeii</t>
        </is>
      </c>
      <c r="B297" s="10" t="inlineStr">
        <is>
          <t>card_296</t>
        </is>
      </c>
      <c r="C297" s="10" t="inlineStr">
        <is>
          <t>Paul W. S. Anderson</t>
        </is>
      </c>
      <c r="D297" s="10" t="n">
        <v>2014</v>
      </c>
      <c r="E297" s="10" t="n">
        <v>2.4</v>
      </c>
      <c r="F297" s="10" t="n">
        <v>50</v>
      </c>
      <c r="I297" s="10" t="n">
        <v>117800000</v>
      </c>
      <c r="J297" s="10" t="inlineStr">
        <is>
          <t>n</t>
        </is>
      </c>
      <c r="K297" s="10" t="n">
        <v>90000000</v>
      </c>
      <c r="L297" s="10" t="inlineStr">
        <is>
          <t>n</t>
        </is>
      </c>
      <c r="M297" s="10" t="n">
        <v>105</v>
      </c>
      <c r="N297" s="10" t="n">
        <v>0</v>
      </c>
      <c r="O297" s="10" t="n">
        <v>0</v>
      </c>
    </row>
    <row r="298">
      <c r="A298" s="10" t="inlineStr">
        <is>
          <t>Noah</t>
        </is>
      </c>
      <c r="B298" s="10" t="inlineStr">
        <is>
          <t>card_297</t>
        </is>
      </c>
      <c r="C298" s="10" t="inlineStr">
        <is>
          <t>Darren Aronofsky</t>
        </is>
      </c>
      <c r="D298" s="10" t="n">
        <v>2014</v>
      </c>
      <c r="E298" s="10" t="n">
        <v>2.6</v>
      </c>
      <c r="F298" s="10" t="n">
        <v>54</v>
      </c>
      <c r="I298" s="10" t="n">
        <v>359000000</v>
      </c>
      <c r="J298" s="10" t="inlineStr">
        <is>
          <t>n</t>
        </is>
      </c>
      <c r="K298" s="10" t="n">
        <v>145000000</v>
      </c>
      <c r="L298" s="10" t="inlineStr">
        <is>
          <t>n</t>
        </is>
      </c>
      <c r="M298" s="10" t="n">
        <v>138</v>
      </c>
      <c r="N298" s="10" t="n">
        <v>0</v>
      </c>
      <c r="O298" s="10" t="n">
        <v>0</v>
      </c>
    </row>
    <row r="299">
      <c r="A299" s="10" t="inlineStr">
        <is>
          <t>The King's Choice</t>
        </is>
      </c>
      <c r="B299" s="10" t="inlineStr">
        <is>
          <t>card_298</t>
        </is>
      </c>
      <c r="C299" s="10" t="inlineStr">
        <is>
          <t>Erik Poppe</t>
        </is>
      </c>
      <c r="D299" s="10" t="n">
        <v>2016</v>
      </c>
      <c r="E299" s="10" t="n">
        <v>3.49</v>
      </c>
      <c r="F299" s="10" t="n">
        <v>64</v>
      </c>
      <c r="I299" s="10" t="n">
        <v>9100000</v>
      </c>
      <c r="J299" s="10" t="inlineStr">
        <is>
          <t>n</t>
        </is>
      </c>
      <c r="K299" s="10" t="n">
        <v>7500000</v>
      </c>
      <c r="L299" s="10" t="inlineStr">
        <is>
          <t>n</t>
        </is>
      </c>
      <c r="M299" s="10" t="n">
        <v>133</v>
      </c>
      <c r="N299" s="10" t="n">
        <v>0</v>
      </c>
      <c r="O299" s="10" t="n">
        <v>0</v>
      </c>
    </row>
    <row r="300">
      <c r="A300" s="10" t="inlineStr">
        <is>
          <t>Silence</t>
        </is>
      </c>
      <c r="B300" s="10" t="inlineStr">
        <is>
          <t>card_299</t>
        </is>
      </c>
      <c r="C300" s="10" t="inlineStr">
        <is>
          <t>Martin Scorsese</t>
        </is>
      </c>
      <c r="D300" s="10" t="n">
        <v>2016</v>
      </c>
      <c r="E300" s="10" t="n">
        <v>4.02</v>
      </c>
      <c r="F300" s="10" t="n">
        <v>76</v>
      </c>
      <c r="I300" s="10" t="n">
        <v>24000000</v>
      </c>
      <c r="J300" s="10" t="inlineStr">
        <is>
          <t>n</t>
        </is>
      </c>
      <c r="K300" s="10" t="n">
        <v>46000000</v>
      </c>
      <c r="L300" s="10" t="inlineStr">
        <is>
          <t>n</t>
        </is>
      </c>
      <c r="M300" s="10" t="n">
        <v>161</v>
      </c>
      <c r="N300" s="10" t="n">
        <v>0</v>
      </c>
      <c r="O300" s="10" t="n">
        <v>1</v>
      </c>
    </row>
    <row r="301">
      <c r="A301" s="10" t="inlineStr">
        <is>
          <t>The Irishman</t>
        </is>
      </c>
      <c r="B301" s="10" t="inlineStr">
        <is>
          <t>card_300</t>
        </is>
      </c>
      <c r="C301" s="10" t="inlineStr">
        <is>
          <t>Martin Scorsese</t>
        </is>
      </c>
      <c r="D301" s="10" t="n">
        <v>2019</v>
      </c>
      <c r="E301" s="10" t="n">
        <v>3.92</v>
      </c>
      <c r="F301" s="10" t="n">
        <v>80</v>
      </c>
      <c r="I301" s="10" t="n"/>
      <c r="J301" s="10" t="n"/>
      <c r="K301" s="10" t="n">
        <v>200000000</v>
      </c>
      <c r="L301" s="10" t="inlineStr">
        <is>
          <t>n</t>
        </is>
      </c>
      <c r="M301" s="10" t="n">
        <v>209</v>
      </c>
      <c r="N301" s="10" t="n">
        <v>0</v>
      </c>
      <c r="O301" s="10" t="n">
        <v>1</v>
      </c>
      <c r="P301" s="10" t="inlineStr">
        <is>
          <t>y</t>
        </is>
      </c>
    </row>
    <row r="302">
      <c r="A302" s="10" t="inlineStr">
        <is>
          <t>The Last Duel</t>
        </is>
      </c>
      <c r="B302" s="10" t="inlineStr">
        <is>
          <t>card_301</t>
        </is>
      </c>
      <c r="C302" s="10" t="inlineStr">
        <is>
          <t>Ridley Scott</t>
        </is>
      </c>
      <c r="D302" s="10" t="n">
        <v>2021</v>
      </c>
      <c r="E302" s="10" t="n">
        <v>3.75</v>
      </c>
      <c r="F302" s="10" t="n">
        <v>73</v>
      </c>
      <c r="I302" s="10" t="n">
        <v>30600000</v>
      </c>
      <c r="J302" s="10" t="inlineStr">
        <is>
          <t>n</t>
        </is>
      </c>
      <c r="K302" s="10" t="n">
        <v>100000000</v>
      </c>
      <c r="L302" s="10" t="inlineStr">
        <is>
          <t>n</t>
        </is>
      </c>
      <c r="M302" s="10" t="n">
        <v>153</v>
      </c>
      <c r="N302" s="10" t="n">
        <v>0</v>
      </c>
      <c r="O302" s="10" t="n">
        <v>0</v>
      </c>
    </row>
    <row r="303">
      <c r="A303" s="10" t="inlineStr">
        <is>
          <t>Dune - Part One</t>
        </is>
      </c>
      <c r="B303" s="10" t="inlineStr">
        <is>
          <t>card_302</t>
        </is>
      </c>
      <c r="C303" s="10" t="inlineStr">
        <is>
          <t>Denis Villeneuve</t>
        </is>
      </c>
      <c r="D303" s="10" t="n">
        <v>2021</v>
      </c>
      <c r="E303" s="10" t="n">
        <v>3.89</v>
      </c>
      <c r="F303" s="10" t="n">
        <v>79</v>
      </c>
      <c r="I303" s="10" t="n">
        <v>411000000</v>
      </c>
      <c r="J303" s="10" t="inlineStr">
        <is>
          <t>n</t>
        </is>
      </c>
      <c r="K303" s="10" t="n">
        <v>165000000</v>
      </c>
      <c r="L303" s="10" t="inlineStr">
        <is>
          <t>n</t>
        </is>
      </c>
      <c r="M303" s="10" t="n">
        <v>155</v>
      </c>
      <c r="N303" s="10" t="n">
        <v>6</v>
      </c>
      <c r="O303" s="10" t="n">
        <v>0</v>
      </c>
    </row>
    <row r="304">
      <c r="A304" s="10" t="inlineStr">
        <is>
          <t>All Quiet on the Western Front</t>
        </is>
      </c>
      <c r="B304" s="10" t="inlineStr">
        <is>
          <t>card_303</t>
        </is>
      </c>
      <c r="C304" s="10" t="inlineStr">
        <is>
          <t>Edward Berger</t>
        </is>
      </c>
      <c r="D304" s="10" t="n">
        <v>2022</v>
      </c>
      <c r="E304" s="10" t="n">
        <v>4.1</v>
      </c>
      <c r="F304" s="10" t="n">
        <v>83</v>
      </c>
      <c r="I304" s="10" t="n"/>
      <c r="J304" s="10" t="n"/>
      <c r="K304" s="10" t="n">
        <v>20000000</v>
      </c>
      <c r="L304" s="10" t="inlineStr">
        <is>
          <t>n</t>
        </is>
      </c>
      <c r="M304" s="10" t="n">
        <v>147</v>
      </c>
      <c r="N304" s="10" t="n">
        <v>4</v>
      </c>
      <c r="O304" s="10" t="n">
        <v>1</v>
      </c>
      <c r="P304" s="10" t="inlineStr">
        <is>
          <t>y</t>
        </is>
      </c>
    </row>
    <row r="305">
      <c r="A305" s="10" t="inlineStr">
        <is>
          <t>Oppenheimer</t>
        </is>
      </c>
      <c r="B305" s="10" t="inlineStr">
        <is>
          <t>card_304</t>
        </is>
      </c>
      <c r="C305" s="10" t="inlineStr">
        <is>
          <t>Christopher Nolan</t>
        </is>
      </c>
      <c r="D305" s="10" t="n">
        <v>2023</v>
      </c>
      <c r="E305" s="10" t="n">
        <v>4.16</v>
      </c>
      <c r="F305" s="10" t="n">
        <v>84</v>
      </c>
      <c r="I305" s="10" t="n">
        <v>983100000</v>
      </c>
      <c r="J305" s="10" t="inlineStr">
        <is>
          <t>n</t>
        </is>
      </c>
      <c r="K305" s="10" t="n">
        <v>100000000</v>
      </c>
      <c r="L305" s="10" t="inlineStr">
        <is>
          <t>n</t>
        </is>
      </c>
      <c r="M305" s="10" t="n">
        <v>180</v>
      </c>
      <c r="N305" s="10" t="n">
        <v>7</v>
      </c>
      <c r="O305" s="10" t="n">
        <v>2</v>
      </c>
    </row>
    <row r="306">
      <c r="A306" s="10" t="inlineStr">
        <is>
          <t>Napoleon</t>
        </is>
      </c>
      <c r="B306" s="10" t="inlineStr">
        <is>
          <t>card_305</t>
        </is>
      </c>
      <c r="C306" s="10" t="inlineStr">
        <is>
          <t>Ridley Scott</t>
        </is>
      </c>
      <c r="D306" s="10" t="n">
        <v>2023</v>
      </c>
      <c r="E306" s="10" t="n">
        <v>2.9</v>
      </c>
      <c r="F306" s="10" t="n">
        <v>51</v>
      </c>
      <c r="I306" s="10" t="n">
        <v>222400000</v>
      </c>
      <c r="J306" s="10" t="inlineStr">
        <is>
          <t>n</t>
        </is>
      </c>
      <c r="K306" s="10" t="n">
        <v>200000000</v>
      </c>
      <c r="L306" s="10" t="inlineStr">
        <is>
          <t>n</t>
        </is>
      </c>
      <c r="M306" s="10" t="n">
        <v>158</v>
      </c>
      <c r="N306" s="10" t="n">
        <v>0</v>
      </c>
      <c r="O306" s="10" t="n">
        <v>0</v>
      </c>
    </row>
    <row r="307">
      <c r="A307" s="10" t="inlineStr">
        <is>
          <t>Killers of the Flower Moon</t>
        </is>
      </c>
      <c r="B307" s="10" t="inlineStr">
        <is>
          <t>card_306</t>
        </is>
      </c>
      <c r="C307" s="10" t="inlineStr">
        <is>
          <t>Martin Scorsese</t>
        </is>
      </c>
      <c r="D307" s="10" t="n">
        <v>2023</v>
      </c>
      <c r="E307" s="10" t="n">
        <v>4.02</v>
      </c>
      <c r="F307" s="10" t="n">
        <v>76</v>
      </c>
      <c r="I307" s="10" t="n">
        <v>158800000</v>
      </c>
      <c r="J307" s="10" t="inlineStr">
        <is>
          <t>n</t>
        </is>
      </c>
      <c r="K307" s="10" t="n">
        <v>215000000</v>
      </c>
      <c r="L307" s="10" t="inlineStr">
        <is>
          <t>n</t>
        </is>
      </c>
      <c r="M307" s="10" t="n">
        <v>206</v>
      </c>
      <c r="N307" s="10" t="n">
        <v>0</v>
      </c>
      <c r="O307" s="10" t="n">
        <v>1</v>
      </c>
    </row>
    <row r="308">
      <c r="A308" s="10" t="inlineStr">
        <is>
          <t>Dune: Part Two</t>
        </is>
      </c>
      <c r="B308" s="10" t="inlineStr">
        <is>
          <t>card_307</t>
        </is>
      </c>
      <c r="C308" s="10" t="inlineStr">
        <is>
          <t>Denis Villeneuve</t>
        </is>
      </c>
      <c r="D308" s="10" t="n">
        <v>2024</v>
      </c>
      <c r="E308" s="10" t="n">
        <v>4.38</v>
      </c>
      <c r="F308" s="10" t="n">
        <v>83</v>
      </c>
      <c r="I308" s="10" t="n">
        <v>714444358</v>
      </c>
      <c r="J308" s="10" t="inlineStr">
        <is>
          <t>n</t>
        </is>
      </c>
      <c r="K308" s="10" t="n">
        <v>190000000</v>
      </c>
      <c r="L308" s="10" t="inlineStr">
        <is>
          <t>n</t>
        </is>
      </c>
      <c r="M308" s="10" t="n">
        <v>166</v>
      </c>
      <c r="N308" s="10" t="n">
        <v>1</v>
      </c>
      <c r="O308" s="10" t="n">
        <v>0</v>
      </c>
    </row>
    <row r="309">
      <c r="A309" s="10" t="inlineStr">
        <is>
          <t>Gladiator II</t>
        </is>
      </c>
      <c r="B309" s="10" t="inlineStr">
        <is>
          <t>card_308</t>
        </is>
      </c>
      <c r="C309" s="10" t="inlineStr">
        <is>
          <t>Ridley Scott</t>
        </is>
      </c>
      <c r="D309" s="10" t="n">
        <v>2024</v>
      </c>
      <c r="E309" s="10" t="n">
        <v>3.25</v>
      </c>
      <c r="F309" s="10" t="n">
        <v>53</v>
      </c>
      <c r="I309" s="10" t="n">
        <v>462700000</v>
      </c>
      <c r="J309" s="10" t="inlineStr">
        <is>
          <t>n</t>
        </is>
      </c>
      <c r="K309" s="10" t="n">
        <v>250000000</v>
      </c>
      <c r="L309" s="10" t="inlineStr">
        <is>
          <t>n</t>
        </is>
      </c>
      <c r="M309" s="10" t="n">
        <v>148</v>
      </c>
      <c r="N309" s="10" t="n">
        <v>0</v>
      </c>
      <c r="O309" s="10" t="n">
        <v>0</v>
      </c>
    </row>
    <row r="310">
      <c r="A310" s="10" t="inlineStr">
        <is>
          <t>Harry Potter and the Philosopher's Stone</t>
        </is>
      </c>
      <c r="B310" s="10" t="inlineStr">
        <is>
          <t>card_309</t>
        </is>
      </c>
      <c r="C310" s="10" t="inlineStr">
        <is>
          <t>Chris Columbus</t>
        </is>
      </c>
      <c r="D310" s="10" t="n">
        <v>2001</v>
      </c>
      <c r="E310" s="10" t="n">
        <v>3.84</v>
      </c>
      <c r="F310" s="10" t="n">
        <v>79</v>
      </c>
      <c r="I310" s="10" t="n">
        <v>1029000000</v>
      </c>
      <c r="J310" s="10" t="b">
        <v>0</v>
      </c>
      <c r="K310" s="10" t="n">
        <v>125000000</v>
      </c>
      <c r="L310" s="10" t="b">
        <v>0</v>
      </c>
      <c r="M310" s="10" t="n">
        <v>152</v>
      </c>
      <c r="N310" s="10" t="n">
        <v>0</v>
      </c>
      <c r="O310" s="10" t="n">
        <v>0</v>
      </c>
      <c r="P310" s="10" t="b">
        <v>0</v>
      </c>
    </row>
    <row r="311">
      <c r="A311" s="10" t="inlineStr">
        <is>
          <t>Harry Potter and the Chamber of Secrets</t>
        </is>
      </c>
      <c r="B311" s="10" t="inlineStr">
        <is>
          <t>card_310</t>
        </is>
      </c>
      <c r="C311" s="10" t="inlineStr">
        <is>
          <t>Chris Columbus</t>
        </is>
      </c>
      <c r="D311" s="10" t="n">
        <v>2002</v>
      </c>
      <c r="E311" s="10" t="n">
        <v>3.65</v>
      </c>
      <c r="F311" s="10" t="n">
        <v>77</v>
      </c>
      <c r="I311" s="10" t="n">
        <v>883400000</v>
      </c>
      <c r="J311" s="10" t="b">
        <v>0</v>
      </c>
      <c r="K311" s="10" t="n">
        <v>100000000</v>
      </c>
      <c r="L311" s="10" t="b">
        <v>0</v>
      </c>
      <c r="M311" s="10" t="n">
        <v>161</v>
      </c>
      <c r="N311" s="10" t="n">
        <v>0</v>
      </c>
      <c r="O311" s="10" t="n">
        <v>0</v>
      </c>
      <c r="P311" s="10" t="b">
        <v>0</v>
      </c>
    </row>
    <row r="312">
      <c r="A312" s="10" t="inlineStr">
        <is>
          <t>Harry Potter and the Goblet of Fire</t>
        </is>
      </c>
      <c r="B312" s="10" t="inlineStr">
        <is>
          <t>card_311</t>
        </is>
      </c>
      <c r="C312" s="10" t="inlineStr">
        <is>
          <t>Mike Newell</t>
        </is>
      </c>
      <c r="D312" s="10" t="n">
        <v>2005</v>
      </c>
      <c r="E312" s="10" t="n">
        <v>3.9</v>
      </c>
      <c r="F312" s="10" t="n">
        <v>79</v>
      </c>
      <c r="I312" s="10" t="n">
        <v>900400000</v>
      </c>
      <c r="J312" s="10" t="b">
        <v>0</v>
      </c>
      <c r="K312" s="10" t="n">
        <v>150000000</v>
      </c>
      <c r="L312" s="10" t="b">
        <v>0</v>
      </c>
      <c r="M312" s="10" t="n">
        <v>157</v>
      </c>
      <c r="N312" s="10" t="n">
        <v>0</v>
      </c>
      <c r="O312" s="10" t="n">
        <v>0</v>
      </c>
      <c r="P312" s="10" t="b">
        <v>0</v>
      </c>
    </row>
    <row r="313">
      <c r="A313" s="10" t="inlineStr">
        <is>
          <t>Harry Potter and the Order of the Phoenix</t>
        </is>
      </c>
      <c r="B313" s="10" t="inlineStr">
        <is>
          <t>card_312</t>
        </is>
      </c>
      <c r="C313" s="10" t="inlineStr">
        <is>
          <t>David Yates</t>
        </is>
      </c>
      <c r="D313" s="10" t="n">
        <v>2007</v>
      </c>
      <c r="E313" s="10" t="n">
        <v>3.72</v>
      </c>
      <c r="F313" s="10" t="n">
        <v>75</v>
      </c>
      <c r="I313" s="10" t="n">
        <v>942900000</v>
      </c>
      <c r="J313" s="10" t="b">
        <v>0</v>
      </c>
      <c r="K313" s="10" t="n">
        <v>150000000</v>
      </c>
      <c r="L313" s="10" t="b">
        <v>1</v>
      </c>
      <c r="M313" s="10" t="n">
        <v>138</v>
      </c>
      <c r="N313" s="10" t="n">
        <v>0</v>
      </c>
      <c r="O313" s="10" t="n">
        <v>0</v>
      </c>
      <c r="P313" s="10" t="b">
        <v>0</v>
      </c>
    </row>
    <row r="314">
      <c r="A314" s="10" t="inlineStr">
        <is>
          <t>Harry Potter and the Half-Blood Prince</t>
        </is>
      </c>
      <c r="B314" s="10" t="inlineStr">
        <is>
          <t>card_313</t>
        </is>
      </c>
      <c r="C314" s="10" t="inlineStr">
        <is>
          <t>David Yates</t>
        </is>
      </c>
      <c r="D314" s="10" t="n">
        <v>2009</v>
      </c>
      <c r="E314" s="10" t="n">
        <v>3.75</v>
      </c>
      <c r="F314" s="10" t="n">
        <v>76</v>
      </c>
      <c r="I314" s="10" t="n">
        <v>941100000</v>
      </c>
      <c r="J314" s="10" t="b">
        <v>0</v>
      </c>
      <c r="K314" s="10" t="n">
        <v>250000000</v>
      </c>
      <c r="L314" s="10" t="b">
        <v>0</v>
      </c>
      <c r="M314" s="10" t="n">
        <v>153</v>
      </c>
      <c r="N314" s="10" t="n">
        <v>0</v>
      </c>
      <c r="O314" s="10" t="n">
        <v>0</v>
      </c>
      <c r="P314" s="10" t="b">
        <v>0</v>
      </c>
    </row>
    <row r="315">
      <c r="A315" s="10" t="inlineStr">
        <is>
          <t>Harry Potter and the Deathly Hallows: Part 1</t>
        </is>
      </c>
      <c r="B315" s="10" t="inlineStr">
        <is>
          <t>card_314</t>
        </is>
      </c>
      <c r="C315" s="10" t="inlineStr">
        <is>
          <t>David Yates</t>
        </is>
      </c>
      <c r="D315" s="10" t="n">
        <v>2010</v>
      </c>
      <c r="E315" s="10" t="n">
        <v>3.75</v>
      </c>
      <c r="F315" s="10" t="n">
        <v>76</v>
      </c>
      <c r="I315" s="10" t="n">
        <v>991200000</v>
      </c>
      <c r="J315" s="10" t="b">
        <v>0</v>
      </c>
      <c r="K315" s="10" t="n">
        <v>125000000</v>
      </c>
      <c r="L315" s="10" t="b">
        <v>1</v>
      </c>
      <c r="M315" s="10" t="n">
        <v>146</v>
      </c>
      <c r="N315" s="10" t="n">
        <v>0</v>
      </c>
      <c r="O315" s="10" t="n">
        <v>0</v>
      </c>
      <c r="P315" s="10" t="b">
        <v>0</v>
      </c>
    </row>
    <row r="316">
      <c r="A316" s="10" t="inlineStr">
        <is>
          <t>Harry Potter and the Deathly Hallows: Part 2</t>
        </is>
      </c>
      <c r="B316" s="10" t="inlineStr">
        <is>
          <t>card_315</t>
        </is>
      </c>
      <c r="C316" s="10" t="inlineStr">
        <is>
          <t>David Yates</t>
        </is>
      </c>
      <c r="D316" s="10" t="n">
        <v>2011</v>
      </c>
      <c r="E316" s="10" t="n">
        <v>4.04</v>
      </c>
      <c r="F316" s="10" t="n">
        <v>83</v>
      </c>
      <c r="I316" s="10" t="n">
        <v>1380000000</v>
      </c>
      <c r="J316" s="10" t="b">
        <v>0</v>
      </c>
      <c r="K316" s="10" t="n">
        <v>125000000</v>
      </c>
      <c r="L316" s="10" t="b">
        <v>1</v>
      </c>
      <c r="M316" s="10" t="n">
        <v>130</v>
      </c>
      <c r="N316" s="10" t="n">
        <v>0</v>
      </c>
      <c r="O316" s="10" t="n">
        <v>0</v>
      </c>
      <c r="P316" s="10" t="b">
        <v>0</v>
      </c>
    </row>
    <row r="317">
      <c r="A317" s="10" t="inlineStr">
        <is>
          <t>Warcraft</t>
        </is>
      </c>
      <c r="B317" s="10" t="inlineStr">
        <is>
          <t>card_316</t>
        </is>
      </c>
      <c r="C317" s="10" t="inlineStr">
        <is>
          <t>Duncan Jones</t>
        </is>
      </c>
      <c r="D317" s="10" t="n">
        <v>2016</v>
      </c>
      <c r="E317" s="10" t="n">
        <v>2.57</v>
      </c>
      <c r="F317" s="10" t="n">
        <v>81</v>
      </c>
      <c r="I317" s="10" t="n">
        <v>439100000</v>
      </c>
      <c r="J317" s="10" t="b">
        <v>0</v>
      </c>
      <c r="K317" s="10" t="n">
        <v>160000000</v>
      </c>
      <c r="L317" s="10" t="b">
        <v>0</v>
      </c>
      <c r="M317" s="10" t="n">
        <v>123</v>
      </c>
      <c r="N317" s="10" t="n">
        <v>0</v>
      </c>
      <c r="O317" s="10" t="n">
        <v>0</v>
      </c>
      <c r="P317" s="10" t="b">
        <v>0</v>
      </c>
    </row>
    <row r="318">
      <c r="A318" s="10" t="inlineStr">
        <is>
          <t>Ocean's Eleven</t>
        </is>
      </c>
      <c r="B318" s="10" t="inlineStr">
        <is>
          <t>card_317</t>
        </is>
      </c>
      <c r="C318" s="10" t="inlineStr">
        <is>
          <t>Steven Soderbergh</t>
        </is>
      </c>
      <c r="D318" s="10" t="n">
        <v>2001</v>
      </c>
      <c r="E318" s="10" t="n">
        <v>3.07</v>
      </c>
      <c r="F318" s="10" t="n">
        <v>80</v>
      </c>
      <c r="I318" s="10" t="n">
        <v>450700000</v>
      </c>
      <c r="J318" s="10" t="b">
        <v>0</v>
      </c>
      <c r="K318" s="10" t="n">
        <v>85000000</v>
      </c>
      <c r="L318" s="10" t="b">
        <v>0</v>
      </c>
      <c r="M318" s="10" t="n">
        <v>116</v>
      </c>
      <c r="N318" s="10" t="n">
        <v>0</v>
      </c>
      <c r="O318" s="10" t="n">
        <v>0</v>
      </c>
      <c r="P318" s="10" t="b">
        <v>0</v>
      </c>
    </row>
    <row r="319">
      <c r="A319" s="10" t="inlineStr">
        <is>
          <t>Ocean's Twelve</t>
        </is>
      </c>
      <c r="B319" s="10" t="inlineStr">
        <is>
          <t>card_318</t>
        </is>
      </c>
      <c r="C319" s="10" t="inlineStr">
        <is>
          <t>Steven Soderbergh</t>
        </is>
      </c>
      <c r="D319" s="10" t="n">
        <v>2004</v>
      </c>
      <c r="E319" s="10" t="n">
        <v>3.39</v>
      </c>
      <c r="F319" s="10" t="n">
        <v>62</v>
      </c>
      <c r="I319" s="10" t="n">
        <v>362900000</v>
      </c>
      <c r="J319" s="10" t="b">
        <v>0</v>
      </c>
      <c r="K319" s="10" t="n">
        <v>110000000</v>
      </c>
      <c r="L319" s="10" t="b">
        <v>0</v>
      </c>
      <c r="M319" s="10" t="n">
        <v>125</v>
      </c>
      <c r="N319" s="10" t="n">
        <v>0</v>
      </c>
      <c r="O319" s="10" t="n">
        <v>0</v>
      </c>
      <c r="P319" s="10" t="b">
        <v>0</v>
      </c>
    </row>
    <row r="320">
      <c r="A320" s="10" t="inlineStr">
        <is>
          <t>Ocean's Thirteen</t>
        </is>
      </c>
      <c r="B320" s="10" t="inlineStr">
        <is>
          <t>card_319</t>
        </is>
      </c>
      <c r="C320" s="10" t="inlineStr">
        <is>
          <t>Steven Soderbergh</t>
        </is>
      </c>
      <c r="D320" s="10" t="n">
        <v>2007</v>
      </c>
      <c r="E320" s="10" t="n">
        <v>3.44</v>
      </c>
      <c r="F320" s="10" t="n">
        <v>69</v>
      </c>
      <c r="I320" s="10" t="n">
        <v>311700000</v>
      </c>
      <c r="J320" s="10" t="b">
        <v>0</v>
      </c>
      <c r="K320" s="10" t="n">
        <v>85000000</v>
      </c>
      <c r="L320" s="10" t="b">
        <v>0</v>
      </c>
      <c r="M320" s="10" t="n">
        <v>122</v>
      </c>
      <c r="N320" s="10" t="n">
        <v>0</v>
      </c>
      <c r="O320" s="10" t="n">
        <v>0</v>
      </c>
      <c r="P320" s="10" t="b">
        <v>0</v>
      </c>
    </row>
    <row r="321">
      <c r="A321" s="10" t="inlineStr">
        <is>
          <t>Highlander</t>
        </is>
      </c>
      <c r="B321" s="10" t="inlineStr">
        <is>
          <t>card_320</t>
        </is>
      </c>
      <c r="C321" s="10" t="inlineStr">
        <is>
          <t>Russell Mulcahy</t>
        </is>
      </c>
      <c r="D321" s="10" t="n">
        <v>1986</v>
      </c>
      <c r="E321" s="10" t="n">
        <v>3.33</v>
      </c>
      <c r="F321" s="10" t="n">
        <v>74</v>
      </c>
      <c r="I321" s="10" t="n">
        <v>12800000</v>
      </c>
      <c r="J321" s="10" t="b">
        <v>0</v>
      </c>
      <c r="K321" s="10" t="n">
        <v>19000000</v>
      </c>
      <c r="L321" s="10" t="b">
        <v>0</v>
      </c>
      <c r="M321" s="10" t="n">
        <v>111</v>
      </c>
      <c r="N321" s="10" t="n">
        <v>0</v>
      </c>
      <c r="O321" s="10" t="n">
        <v>0</v>
      </c>
      <c r="P321" s="10" t="b">
        <v>0</v>
      </c>
    </row>
    <row r="322">
      <c r="A322" s="10" t="inlineStr">
        <is>
          <t>Highlander II: The Quickening</t>
        </is>
      </c>
      <c r="B322" s="10" t="inlineStr">
        <is>
          <t>card_321</t>
        </is>
      </c>
      <c r="C322" s="10" t="inlineStr">
        <is>
          <t>Russell Mulcahy</t>
        </is>
      </c>
      <c r="D322" s="10" t="n">
        <v>1991</v>
      </c>
      <c r="E322" s="10" t="n">
        <v>2.14</v>
      </c>
      <c r="F322" s="10" t="n">
        <v>53</v>
      </c>
      <c r="I322" s="10" t="n">
        <v>15600000</v>
      </c>
      <c r="J322" s="10" t="b">
        <v>1</v>
      </c>
      <c r="K322" s="10" t="n">
        <v>22000000</v>
      </c>
      <c r="L322" s="10" t="b">
        <v>0</v>
      </c>
      <c r="M322" s="10" t="n">
        <v>100</v>
      </c>
      <c r="N322" s="10" t="n">
        <v>0</v>
      </c>
      <c r="O322" s="10" t="n">
        <v>0</v>
      </c>
      <c r="P322" s="10" t="b">
        <v>0</v>
      </c>
    </row>
    <row r="323">
      <c r="A323" s="10" t="inlineStr">
        <is>
          <t>Highlander III: The Sorcerer</t>
        </is>
      </c>
      <c r="B323" s="10" t="inlineStr">
        <is>
          <t>card_322</t>
        </is>
      </c>
      <c r="C323" s="10" t="inlineStr">
        <is>
          <t>Andy Morahan</t>
        </is>
      </c>
      <c r="D323" s="10" t="n">
        <v>1994</v>
      </c>
      <c r="E323" s="10" t="n">
        <v>2.25</v>
      </c>
      <c r="F323" s="10" t="n">
        <v>67</v>
      </c>
      <c r="I323" s="10" t="n">
        <v>36700000</v>
      </c>
      <c r="J323" s="10" t="b">
        <v>0</v>
      </c>
      <c r="K323" s="10" t="n">
        <v>30000000</v>
      </c>
      <c r="L323" s="10" t="b">
        <v>1</v>
      </c>
      <c r="M323" s="10" t="n">
        <v>95</v>
      </c>
      <c r="N323" s="10" t="n">
        <v>0</v>
      </c>
      <c r="O323" s="10" t="n">
        <v>0</v>
      </c>
      <c r="P323" s="10" t="b">
        <v>0</v>
      </c>
    </row>
    <row r="324">
      <c r="A324" s="10" t="inlineStr">
        <is>
          <t>Highlander: Endgame</t>
        </is>
      </c>
      <c r="B324" s="10" t="inlineStr">
        <is>
          <t>card_323</t>
        </is>
      </c>
      <c r="C324" s="10" t="inlineStr">
        <is>
          <t>Doug Aarniokoski</t>
        </is>
      </c>
      <c r="D324" s="10" t="n">
        <v>2000</v>
      </c>
      <c r="E324" s="10" t="n">
        <v>2.25</v>
      </c>
      <c r="F324" s="10" t="n">
        <v>53</v>
      </c>
      <c r="I324" s="10" t="n">
        <v>15800000</v>
      </c>
      <c r="J324" s="10" t="b">
        <v>0</v>
      </c>
      <c r="K324" s="10" t="n">
        <v>25000000</v>
      </c>
      <c r="L324" s="10" t="b">
        <v>0</v>
      </c>
      <c r="M324" s="10" t="n">
        <v>87</v>
      </c>
      <c r="N324" s="10" t="n">
        <v>0</v>
      </c>
      <c r="O324" s="10" t="n">
        <v>0</v>
      </c>
      <c r="P324" s="10" t="b">
        <v>0</v>
      </c>
    </row>
    <row r="325">
      <c r="A325" s="10" t="inlineStr">
        <is>
          <t>Twilight</t>
        </is>
      </c>
      <c r="B325" s="10" t="inlineStr">
        <is>
          <t>card_324</t>
        </is>
      </c>
      <c r="C325" s="10" t="inlineStr">
        <is>
          <t>Catherine Hardwicke</t>
        </is>
      </c>
      <c r="D325" s="10" t="n">
        <v>2008</v>
      </c>
      <c r="E325" s="10" t="n">
        <v>3.11</v>
      </c>
      <c r="F325" s="10" t="n">
        <v>42</v>
      </c>
      <c r="I325" s="10" t="n">
        <v>412000000</v>
      </c>
      <c r="J325" s="10" t="b">
        <v>0</v>
      </c>
      <c r="K325" s="10" t="n">
        <v>37000000</v>
      </c>
      <c r="L325" s="10" t="b">
        <v>0</v>
      </c>
      <c r="M325" s="10" t="n">
        <v>121</v>
      </c>
      <c r="N325" s="10" t="n">
        <v>0</v>
      </c>
      <c r="O325" s="10" t="n">
        <v>0</v>
      </c>
      <c r="P325" s="10" t="b">
        <v>0</v>
      </c>
    </row>
    <row r="326">
      <c r="A326" s="10" t="inlineStr">
        <is>
          <t>The Twilight Saga: New Moon</t>
        </is>
      </c>
      <c r="B326" s="10" t="inlineStr">
        <is>
          <t>card_325</t>
        </is>
      </c>
      <c r="C326" s="10" t="inlineStr">
        <is>
          <t>Chris Weitz</t>
        </is>
      </c>
      <c r="D326" s="10" t="n">
        <v>2009</v>
      </c>
      <c r="E326" s="10" t="n">
        <v>2.82</v>
      </c>
      <c r="F326" s="10" t="n">
        <v>39</v>
      </c>
      <c r="I326" s="10" t="n">
        <v>712000000</v>
      </c>
      <c r="J326" s="10" t="b">
        <v>0</v>
      </c>
      <c r="K326" s="10" t="n">
        <v>50000000</v>
      </c>
      <c r="L326" s="10" t="b">
        <v>0</v>
      </c>
      <c r="M326" s="10" t="n">
        <v>130</v>
      </c>
      <c r="N326" s="10" t="n">
        <v>0</v>
      </c>
      <c r="O326" s="10" t="n">
        <v>0</v>
      </c>
      <c r="P326" s="10" t="b">
        <v>0</v>
      </c>
    </row>
    <row r="327">
      <c r="A327" s="10" t="inlineStr">
        <is>
          <t>The Twilight Saga: Eclipse</t>
        </is>
      </c>
      <c r="B327" s="10" t="inlineStr">
        <is>
          <t>card_326</t>
        </is>
      </c>
      <c r="C327" s="10" t="inlineStr">
        <is>
          <t>David Slade</t>
        </is>
      </c>
      <c r="D327" s="10" t="n">
        <v>2010</v>
      </c>
      <c r="E327" s="10" t="n">
        <v>2.77</v>
      </c>
      <c r="F327" s="10" t="n">
        <v>48</v>
      </c>
      <c r="I327" s="10" t="n">
        <v>699000000</v>
      </c>
      <c r="J327" s="10" t="b">
        <v>0</v>
      </c>
      <c r="K327" s="10" t="n">
        <v>68000000</v>
      </c>
      <c r="L327" s="10" t="b">
        <v>0</v>
      </c>
      <c r="M327" s="10" t="n">
        <v>124</v>
      </c>
      <c r="N327" s="10" t="n">
        <v>0</v>
      </c>
      <c r="O327" s="10" t="n">
        <v>0</v>
      </c>
      <c r="P327" s="10" t="b">
        <v>0</v>
      </c>
    </row>
    <row r="328">
      <c r="A328" s="10" t="inlineStr">
        <is>
          <t>The Twilight Saga: Breaking Dawn - Part 1</t>
        </is>
      </c>
      <c r="B328" s="10" t="inlineStr">
        <is>
          <t>card_327</t>
        </is>
      </c>
      <c r="C328" s="10" t="inlineStr">
        <is>
          <t>Bill Condon</t>
        </is>
      </c>
      <c r="D328" s="10" t="n">
        <v>2011</v>
      </c>
      <c r="E328" s="10" t="n">
        <v>2.77</v>
      </c>
      <c r="F328" s="10" t="n">
        <v>43</v>
      </c>
      <c r="I328" s="10" t="n">
        <v>732000000</v>
      </c>
      <c r="J328" s="10" t="b">
        <v>0</v>
      </c>
      <c r="K328" s="10" t="n">
        <v>127000000</v>
      </c>
      <c r="L328" s="10" t="b">
        <v>0</v>
      </c>
      <c r="M328" s="10" t="n">
        <v>117</v>
      </c>
      <c r="N328" s="10" t="n">
        <v>0</v>
      </c>
      <c r="O328" s="10" t="n">
        <v>0</v>
      </c>
      <c r="P328" s="10" t="b">
        <v>0</v>
      </c>
    </row>
    <row r="329">
      <c r="A329" s="10" t="inlineStr">
        <is>
          <t>The Twilight Saga: Breaking Dawn - Part 2</t>
        </is>
      </c>
      <c r="B329" s="10" t="inlineStr">
        <is>
          <t>card_328</t>
        </is>
      </c>
      <c r="C329" s="10" t="inlineStr">
        <is>
          <t>Bill Condon</t>
        </is>
      </c>
      <c r="D329" s="10" t="n">
        <v>2012</v>
      </c>
      <c r="E329" s="10" t="n">
        <v>3.01</v>
      </c>
      <c r="F329" s="10" t="n">
        <v>45</v>
      </c>
      <c r="I329" s="10" t="n">
        <v>868000000</v>
      </c>
      <c r="J329" s="10" t="b">
        <v>0</v>
      </c>
      <c r="K329" s="10" t="n">
        <v>136000000</v>
      </c>
      <c r="L329" s="10" t="b">
        <v>0</v>
      </c>
      <c r="M329" s="10" t="n">
        <v>115</v>
      </c>
      <c r="N329" s="10" t="n">
        <v>0</v>
      </c>
      <c r="O329" s="10" t="n">
        <v>0</v>
      </c>
      <c r="P329" s="10" t="b">
        <v>0</v>
      </c>
    </row>
    <row r="330">
      <c r="A330" s="10" t="inlineStr">
        <is>
          <t>Fifty Shades of Grey</t>
        </is>
      </c>
      <c r="B330" s="10" t="inlineStr">
        <is>
          <t>card_329</t>
        </is>
      </c>
      <c r="C330" s="10" t="inlineStr">
        <is>
          <t>Sam Taylor-Johnson</t>
        </is>
      </c>
      <c r="D330" s="10" t="n">
        <v>2015</v>
      </c>
      <c r="E330" s="10" t="n">
        <v>1.88</v>
      </c>
      <c r="F330" s="10" t="n">
        <v>33</v>
      </c>
      <c r="I330" s="10" t="n">
        <v>569700000</v>
      </c>
      <c r="J330" s="10" t="b">
        <v>0</v>
      </c>
      <c r="K330" s="10" t="n">
        <v>40000000</v>
      </c>
      <c r="L330" s="10" t="b">
        <v>0</v>
      </c>
      <c r="M330" s="10" t="n">
        <v>125</v>
      </c>
      <c r="N330" s="10" t="n">
        <v>0</v>
      </c>
      <c r="O330" s="10" t="n">
        <v>0</v>
      </c>
      <c r="P330" s="10" t="b">
        <v>0</v>
      </c>
    </row>
    <row r="331">
      <c r="A331" s="10" t="inlineStr">
        <is>
          <t>Fifty Shades Darker</t>
        </is>
      </c>
      <c r="B331" s="10" t="inlineStr">
        <is>
          <t>card_330</t>
        </is>
      </c>
      <c r="C331" s="10" t="inlineStr">
        <is>
          <t>James Foley</t>
        </is>
      </c>
      <c r="D331" s="10" t="n">
        <v>2017</v>
      </c>
      <c r="E331" s="10" t="n">
        <v>2.09</v>
      </c>
      <c r="F331" s="10" t="n">
        <v>32</v>
      </c>
      <c r="I331" s="10" t="n">
        <v>381000000</v>
      </c>
      <c r="J331" s="10" t="b">
        <v>0</v>
      </c>
      <c r="K331" s="10" t="n">
        <v>55000000</v>
      </c>
      <c r="L331" s="10" t="b">
        <v>0</v>
      </c>
      <c r="M331" s="10" t="n">
        <v>118</v>
      </c>
      <c r="N331" s="10" t="n">
        <v>0</v>
      </c>
      <c r="O331" s="10" t="n">
        <v>0</v>
      </c>
      <c r="P331" s="10" t="b">
        <v>0</v>
      </c>
    </row>
    <row r="332">
      <c r="A332" s="10" t="inlineStr">
        <is>
          <t>Fifty Shades Freed</t>
        </is>
      </c>
      <c r="B332" s="10" t="inlineStr">
        <is>
          <t>card_331</t>
        </is>
      </c>
      <c r="C332" s="10" t="inlineStr">
        <is>
          <t>James Foley</t>
        </is>
      </c>
      <c r="D332" s="10" t="n">
        <v>2018</v>
      </c>
      <c r="E332" s="10" t="n">
        <v>2.06</v>
      </c>
      <c r="F332" s="10" t="n">
        <v>35</v>
      </c>
      <c r="I332" s="10" t="n">
        <v>372000000</v>
      </c>
      <c r="J332" s="10" t="b">
        <v>0</v>
      </c>
      <c r="K332" s="10" t="n">
        <v>55000000</v>
      </c>
      <c r="L332" s="10" t="b">
        <v>0</v>
      </c>
      <c r="M332" s="10" t="n">
        <v>105</v>
      </c>
      <c r="N332" s="10" t="n">
        <v>0</v>
      </c>
      <c r="O332" s="10" t="n">
        <v>0</v>
      </c>
      <c r="P332" s="10" t="b">
        <v>0</v>
      </c>
    </row>
    <row r="333">
      <c r="A333" s="10" t="inlineStr">
        <is>
          <t>Die Hard</t>
        </is>
      </c>
      <c r="B333" s="10" t="inlineStr">
        <is>
          <t>card_332</t>
        </is>
      </c>
      <c r="C333" s="10" t="inlineStr">
        <is>
          <t>John McTiernan</t>
        </is>
      </c>
      <c r="D333" s="10" t="n">
        <v>1988</v>
      </c>
      <c r="E333" s="10" t="n">
        <v>4.06</v>
      </c>
      <c r="F333" s="10" t="n">
        <v>86</v>
      </c>
      <c r="I333" s="10" t="n">
        <v>141500000</v>
      </c>
      <c r="J333" s="10" t="b">
        <v>0</v>
      </c>
      <c r="K333" s="10" t="n">
        <v>30000000</v>
      </c>
      <c r="L333" s="10" t="b">
        <v>1</v>
      </c>
      <c r="M333" s="10" t="n">
        <v>132</v>
      </c>
      <c r="N333" s="10" t="n">
        <v>0</v>
      </c>
      <c r="O333" s="10" t="n">
        <v>0</v>
      </c>
      <c r="P333" s="10" t="b">
        <v>0</v>
      </c>
    </row>
    <row r="334">
      <c r="A334" s="10" t="inlineStr">
        <is>
          <t>Die Hard 2</t>
        </is>
      </c>
      <c r="B334" s="10" t="inlineStr">
        <is>
          <t>card_333</t>
        </is>
      </c>
      <c r="C334" s="10" t="inlineStr">
        <is>
          <t>Renny Harlin</t>
        </is>
      </c>
      <c r="D334" s="10" t="n">
        <v>1990</v>
      </c>
      <c r="E334" s="10" t="n">
        <v>3.37</v>
      </c>
      <c r="F334" s="10" t="n">
        <v>73</v>
      </c>
      <c r="I334" s="10" t="n">
        <v>240000000</v>
      </c>
      <c r="J334" s="10" t="b">
        <v>0</v>
      </c>
      <c r="K334" s="10" t="n">
        <v>65000000</v>
      </c>
      <c r="L334" s="10" t="b">
        <v>1</v>
      </c>
      <c r="M334" s="10" t="n">
        <v>124</v>
      </c>
      <c r="N334" s="10" t="n">
        <v>0</v>
      </c>
      <c r="O334" s="10" t="n">
        <v>0</v>
      </c>
      <c r="P334" s="10" t="b">
        <v>0</v>
      </c>
    </row>
    <row r="335">
      <c r="A335" s="10" t="inlineStr">
        <is>
          <t>Die Hard with a Vengeance</t>
        </is>
      </c>
      <c r="B335" s="10" t="inlineStr">
        <is>
          <t>card_334</t>
        </is>
      </c>
      <c r="C335" s="10" t="inlineStr">
        <is>
          <t>John McTiernan</t>
        </is>
      </c>
      <c r="D335" s="10" t="n">
        <v>1995</v>
      </c>
      <c r="E335" s="10" t="n">
        <v>3.75</v>
      </c>
      <c r="F335" s="10" t="n">
        <v>78</v>
      </c>
      <c r="I335" s="10" t="n">
        <v>366000000</v>
      </c>
      <c r="J335" s="10" t="b">
        <v>0</v>
      </c>
      <c r="K335" s="10" t="n">
        <v>90000000</v>
      </c>
      <c r="L335" s="10" t="b">
        <v>0</v>
      </c>
      <c r="M335" s="10" t="n">
        <v>128</v>
      </c>
      <c r="N335" s="10" t="n">
        <v>0</v>
      </c>
      <c r="O335" s="10" t="n">
        <v>0</v>
      </c>
      <c r="P335" s="10" t="b">
        <v>0</v>
      </c>
    </row>
    <row r="336">
      <c r="A336" s="10" t="inlineStr">
        <is>
          <t>Live Free or Die Hard</t>
        </is>
      </c>
      <c r="B336" s="10" t="inlineStr">
        <is>
          <t>card_335</t>
        </is>
      </c>
      <c r="C336" s="10" t="inlineStr">
        <is>
          <t>Len Wiseman</t>
        </is>
      </c>
      <c r="D336" s="10" t="n">
        <v>2007</v>
      </c>
      <c r="E336" s="10" t="n">
        <v>2.97</v>
      </c>
      <c r="F336" s="10" t="n">
        <v>73</v>
      </c>
      <c r="I336" s="10" t="n">
        <v>383500000</v>
      </c>
      <c r="J336" s="10" t="b">
        <v>0</v>
      </c>
      <c r="K336" s="10" t="n">
        <v>110000000</v>
      </c>
      <c r="L336" s="10" t="b">
        <v>0</v>
      </c>
      <c r="M336" s="10" t="n">
        <v>128</v>
      </c>
      <c r="N336" s="10" t="n">
        <v>0</v>
      </c>
      <c r="O336" s="10" t="n">
        <v>0</v>
      </c>
      <c r="P336" s="10" t="b">
        <v>0</v>
      </c>
    </row>
    <row r="337">
      <c r="A337" s="10" t="inlineStr">
        <is>
          <t>A Good Day to Die Hard</t>
        </is>
      </c>
      <c r="B337" s="10" t="inlineStr">
        <is>
          <t>card_336</t>
        </is>
      </c>
      <c r="C337" s="10" t="inlineStr">
        <is>
          <t>John Moore</t>
        </is>
      </c>
      <c r="D337" s="10" t="n">
        <v>2013</v>
      </c>
      <c r="E337" s="10" t="n">
        <v>1.87</v>
      </c>
      <c r="F337" s="10" t="n">
        <v>44</v>
      </c>
      <c r="I337" s="10" t="n">
        <v>304700000</v>
      </c>
      <c r="J337" s="10" t="b">
        <v>0</v>
      </c>
      <c r="K337" s="10" t="n">
        <v>92000000</v>
      </c>
      <c r="L337" s="10" t="b">
        <v>0</v>
      </c>
      <c r="M337" s="10" t="n">
        <v>98</v>
      </c>
      <c r="N337" s="10" t="n">
        <v>0</v>
      </c>
      <c r="O337" s="10" t="n">
        <v>0</v>
      </c>
      <c r="P337" s="10" t="b">
        <v>0</v>
      </c>
    </row>
    <row r="338">
      <c r="A338" s="10" t="inlineStr">
        <is>
          <t>King Kong</t>
        </is>
      </c>
      <c r="B338" s="10" t="inlineStr">
        <is>
          <t>card_337</t>
        </is>
      </c>
      <c r="C338" s="10" t="inlineStr">
        <is>
          <t>Peter Jackson</t>
        </is>
      </c>
      <c r="D338" s="10" t="n">
        <v>2005</v>
      </c>
      <c r="E338" s="10" t="n">
        <v>3.43</v>
      </c>
      <c r="F338" s="10" t="n">
        <v>78</v>
      </c>
      <c r="I338" s="10" t="n">
        <v>556900000</v>
      </c>
      <c r="J338" s="10" t="b">
        <v>0</v>
      </c>
      <c r="K338" s="10" t="n">
        <v>207000000</v>
      </c>
      <c r="L338" s="10" t="b">
        <v>0</v>
      </c>
      <c r="M338" s="10" t="n">
        <v>187</v>
      </c>
      <c r="N338" s="10" t="n">
        <v>3</v>
      </c>
      <c r="O338" s="10" t="n">
        <v>3</v>
      </c>
      <c r="P338" s="10" t="b">
        <v>0</v>
      </c>
    </row>
    <row r="339">
      <c r="A339" s="10" t="inlineStr">
        <is>
          <t>Heavenly Creatures</t>
        </is>
      </c>
      <c r="B339" s="10" t="inlineStr">
        <is>
          <t>card_338</t>
        </is>
      </c>
      <c r="C339" s="10" t="inlineStr">
        <is>
          <t>Peter Jackson</t>
        </is>
      </c>
      <c r="D339" s="10" t="n">
        <v>1994</v>
      </c>
      <c r="E339" s="10" t="n">
        <v>3.78</v>
      </c>
      <c r="F339" s="10" t="n">
        <v>73</v>
      </c>
      <c r="I339" s="10" t="n">
        <v>5400000</v>
      </c>
      <c r="J339" s="10" t="b">
        <v>0</v>
      </c>
      <c r="K339" s="10" t="n">
        <v>5000000</v>
      </c>
      <c r="L339" s="10" t="b">
        <v>0</v>
      </c>
      <c r="M339" s="10" t="n">
        <v>99</v>
      </c>
      <c r="N339" s="10" t="n">
        <v>0</v>
      </c>
      <c r="O339" s="10" t="n">
        <v>3</v>
      </c>
      <c r="P339" s="10" t="b">
        <v>0</v>
      </c>
    </row>
    <row r="340">
      <c r="A340" s="10" t="inlineStr">
        <is>
          <t>The Frighteners</t>
        </is>
      </c>
      <c r="B340" s="10" t="inlineStr">
        <is>
          <t>card_339</t>
        </is>
      </c>
      <c r="C340" s="10" t="inlineStr">
        <is>
          <t>Peter Jackson</t>
        </is>
      </c>
      <c r="D340" s="10" t="n">
        <v>1996</v>
      </c>
      <c r="E340" s="10" t="n">
        <v>3.47</v>
      </c>
      <c r="F340" s="10" t="n">
        <v>76</v>
      </c>
      <c r="I340" s="10" t="n">
        <v>29300000</v>
      </c>
      <c r="J340" s="10" t="b">
        <v>0</v>
      </c>
      <c r="K340" s="10" t="n">
        <v>26000000</v>
      </c>
      <c r="L340" s="10" t="b">
        <v>0</v>
      </c>
      <c r="M340" s="10" t="n">
        <v>110</v>
      </c>
      <c r="N340" s="10" t="n">
        <v>0</v>
      </c>
      <c r="O340" s="10" t="n">
        <v>3</v>
      </c>
      <c r="P340" s="10" t="b">
        <v>0</v>
      </c>
    </row>
    <row r="341">
      <c r="A341" s="10" t="inlineStr">
        <is>
          <t>Braindead</t>
        </is>
      </c>
      <c r="B341" s="10" t="inlineStr">
        <is>
          <t>card_340</t>
        </is>
      </c>
      <c r="C341" s="10" t="inlineStr">
        <is>
          <t>Peter Jackson</t>
        </is>
      </c>
      <c r="D341" s="10" t="n">
        <v>1992</v>
      </c>
      <c r="E341" s="10" t="n">
        <v>3.94</v>
      </c>
      <c r="F341" s="10" t="n">
        <v>75</v>
      </c>
      <c r="I341" s="10" t="n">
        <v>242623</v>
      </c>
      <c r="J341" s="10" t="b">
        <v>1</v>
      </c>
      <c r="K341" s="10" t="n">
        <v>3000000</v>
      </c>
      <c r="L341" s="10" t="b">
        <v>0</v>
      </c>
      <c r="M341" s="10" t="n">
        <v>104</v>
      </c>
      <c r="N341" s="10" t="n">
        <v>0</v>
      </c>
      <c r="O341" s="10" t="n">
        <v>3</v>
      </c>
      <c r="P341" s="10" t="b">
        <v>0</v>
      </c>
    </row>
    <row r="342">
      <c r="A342" s="10" t="inlineStr">
        <is>
          <t>Bad Taste</t>
        </is>
      </c>
      <c r="B342" s="10" t="inlineStr">
        <is>
          <t>card_341</t>
        </is>
      </c>
      <c r="C342" s="10" t="inlineStr">
        <is>
          <t>Peter Jackson</t>
        </is>
      </c>
      <c r="D342" s="10" t="n">
        <v>1987</v>
      </c>
      <c r="E342" s="10" t="n">
        <v>3.29</v>
      </c>
      <c r="F342" s="10" t="n">
        <v>54</v>
      </c>
      <c r="I342" s="10" t="n">
        <v>500000</v>
      </c>
      <c r="J342" s="10" t="b">
        <v>1</v>
      </c>
      <c r="K342" s="10" t="n">
        <v>400000</v>
      </c>
      <c r="L342" s="10" t="b">
        <v>0</v>
      </c>
      <c r="M342" s="10" t="n">
        <v>92</v>
      </c>
      <c r="N342" s="10" t="n">
        <v>0</v>
      </c>
      <c r="O342" s="10" t="n">
        <v>3</v>
      </c>
      <c r="P342" s="10" t="b">
        <v>0</v>
      </c>
    </row>
    <row r="343">
      <c r="A343" s="10" t="inlineStr">
        <is>
          <t>Meet the Feebles</t>
        </is>
      </c>
      <c r="B343" s="10" t="inlineStr">
        <is>
          <t>card_342</t>
        </is>
      </c>
      <c r="C343" s="10" t="inlineStr">
        <is>
          <t>Peter Jackson</t>
        </is>
      </c>
      <c r="D343" s="10" t="n">
        <v>1989</v>
      </c>
      <c r="E343" s="10" t="n">
        <v>3.37</v>
      </c>
      <c r="I343" s="10" t="n">
        <v>80000</v>
      </c>
      <c r="J343" s="10" t="b">
        <v>1</v>
      </c>
      <c r="K343" s="10" t="n">
        <v>750000</v>
      </c>
      <c r="L343" s="10" t="b">
        <v>0</v>
      </c>
      <c r="M343" s="10" t="n">
        <v>97</v>
      </c>
      <c r="N343" s="10" t="n">
        <v>0</v>
      </c>
      <c r="O343" s="10" t="n">
        <v>3</v>
      </c>
      <c r="P343" s="10" t="b">
        <v>0</v>
      </c>
    </row>
    <row r="344">
      <c r="A344" s="10" t="inlineStr">
        <is>
          <t>The Lovely Bones</t>
        </is>
      </c>
      <c r="B344" s="10" t="inlineStr">
        <is>
          <t>card_343</t>
        </is>
      </c>
      <c r="C344" s="10" t="inlineStr">
        <is>
          <t>Peter Jackson</t>
        </is>
      </c>
      <c r="D344" s="10" t="n">
        <v>2009</v>
      </c>
      <c r="E344" s="10" t="n">
        <v>3.43</v>
      </c>
      <c r="F344" s="10" t="n">
        <v>62</v>
      </c>
      <c r="I344" s="10" t="n">
        <v>93600000</v>
      </c>
      <c r="J344" s="10" t="b">
        <v>0</v>
      </c>
      <c r="K344" s="10" t="n">
        <v>65000000</v>
      </c>
      <c r="L344" s="10" t="b">
        <v>0</v>
      </c>
      <c r="M344" s="10" t="n">
        <v>135</v>
      </c>
      <c r="N344" s="10" t="n">
        <v>0</v>
      </c>
      <c r="O344" s="10" t="n">
        <v>3</v>
      </c>
      <c r="P344" s="10" t="b">
        <v>0</v>
      </c>
    </row>
    <row r="345">
      <c r="A345" s="10" t="inlineStr">
        <is>
          <t>E.T. the Extra-Terrestrial</t>
        </is>
      </c>
      <c r="B345" s="10" t="inlineStr">
        <is>
          <t>card_344</t>
        </is>
      </c>
      <c r="C345" s="10" t="inlineStr">
        <is>
          <t>Steven Spielberg</t>
        </is>
      </c>
      <c r="D345" s="10" t="n">
        <v>1982</v>
      </c>
      <c r="E345" s="10" t="n">
        <v>3.85</v>
      </c>
      <c r="F345" s="10" t="n">
        <v>82</v>
      </c>
      <c r="I345" s="10" t="n">
        <v>797300000</v>
      </c>
      <c r="J345" s="10" t="b">
        <v>0</v>
      </c>
      <c r="K345" s="10" t="n">
        <v>10500000</v>
      </c>
      <c r="L345" s="10" t="b">
        <v>0</v>
      </c>
      <c r="M345" s="10" t="n">
        <v>114</v>
      </c>
      <c r="N345" s="10" t="n">
        <v>4</v>
      </c>
      <c r="O345" s="10" t="n">
        <v>0</v>
      </c>
      <c r="P345" s="10" t="b">
        <v>0</v>
      </c>
    </row>
    <row r="346">
      <c r="A346" s="10" t="inlineStr">
        <is>
          <t>Close Encounters of the Third Kind</t>
        </is>
      </c>
      <c r="B346" s="10" t="inlineStr">
        <is>
          <t>card_345</t>
        </is>
      </c>
      <c r="C346" s="10" t="inlineStr">
        <is>
          <t>Steven Spielberg</t>
        </is>
      </c>
      <c r="D346" s="10" t="n">
        <v>1977</v>
      </c>
      <c r="E346" s="10" t="n">
        <v>3.82</v>
      </c>
      <c r="F346" s="10" t="n">
        <v>79</v>
      </c>
      <c r="I346" s="10" t="n">
        <v>306900000</v>
      </c>
      <c r="J346" s="10" t="b">
        <v>0</v>
      </c>
      <c r="K346" s="10" t="n">
        <v>19400000</v>
      </c>
      <c r="L346" s="10" t="b">
        <v>0</v>
      </c>
      <c r="M346" s="10" t="n">
        <v>135</v>
      </c>
      <c r="N346" s="10" t="n">
        <v>2</v>
      </c>
      <c r="O346" s="10" t="n">
        <v>0</v>
      </c>
      <c r="P346" s="10" t="b">
        <v>0</v>
      </c>
    </row>
    <row r="347">
      <c r="A347" s="10" t="inlineStr">
        <is>
          <t>Indiana Jones and the Temple of Doom</t>
        </is>
      </c>
      <c r="B347" s="10" t="inlineStr">
        <is>
          <t>card_346</t>
        </is>
      </c>
      <c r="C347" s="10" t="inlineStr">
        <is>
          <t>Steven Spielberg</t>
        </is>
      </c>
      <c r="D347" s="10" t="n">
        <v>1984</v>
      </c>
      <c r="E347" s="10" t="n">
        <v>3.67</v>
      </c>
      <c r="F347" s="10" t="n">
        <v>77</v>
      </c>
      <c r="I347" s="10" t="n">
        <v>333100000</v>
      </c>
      <c r="J347" s="10" t="b">
        <v>0</v>
      </c>
      <c r="K347" s="10" t="n">
        <v>28000000</v>
      </c>
      <c r="L347" s="10" t="b">
        <v>0</v>
      </c>
      <c r="M347" s="10" t="n">
        <v>117</v>
      </c>
      <c r="N347" s="10" t="n">
        <v>1</v>
      </c>
      <c r="O347" s="10" t="n">
        <v>0</v>
      </c>
      <c r="P347" s="10" t="b">
        <v>0</v>
      </c>
    </row>
    <row r="348">
      <c r="A348" s="10" t="inlineStr">
        <is>
          <t>Indiana Jones and the Kingdom of the Crystal Skull</t>
        </is>
      </c>
      <c r="B348" s="10" t="inlineStr">
        <is>
          <t>card_347</t>
        </is>
      </c>
      <c r="C348" s="10" t="inlineStr">
        <is>
          <t>Steven Spielberg</t>
        </is>
      </c>
      <c r="D348" s="10" t="n">
        <v>2008</v>
      </c>
      <c r="E348" s="10" t="n">
        <v>2.82</v>
      </c>
      <c r="F348" s="10" t="n">
        <v>59</v>
      </c>
      <c r="I348" s="10" t="n">
        <v>786600000</v>
      </c>
      <c r="J348" s="10" t="b">
        <v>0</v>
      </c>
      <c r="K348" s="10" t="n">
        <v>185000000</v>
      </c>
      <c r="L348" s="10" t="b">
        <v>0</v>
      </c>
      <c r="M348" s="10" t="n">
        <v>122</v>
      </c>
      <c r="N348" s="10" t="n">
        <v>0</v>
      </c>
      <c r="O348" s="10" t="n">
        <v>0</v>
      </c>
      <c r="P348" s="10" t="b">
        <v>0</v>
      </c>
    </row>
    <row r="349">
      <c r="A349" s="10" t="inlineStr">
        <is>
          <t>The Lost World: Jurassic Park</t>
        </is>
      </c>
      <c r="B349" s="10" t="inlineStr">
        <is>
          <t>card_348</t>
        </is>
      </c>
      <c r="C349" s="10" t="inlineStr">
        <is>
          <t>Steven Spielberg</t>
        </is>
      </c>
      <c r="D349" s="10" t="n">
        <v>1997</v>
      </c>
      <c r="E349" s="10" t="n">
        <v>3.15</v>
      </c>
      <c r="F349" s="10" t="n">
        <v>70</v>
      </c>
      <c r="I349" s="10" t="n">
        <v>618600000</v>
      </c>
      <c r="J349" s="10" t="b">
        <v>0</v>
      </c>
      <c r="K349" s="10" t="n">
        <v>73000000</v>
      </c>
      <c r="L349" s="10" t="b">
        <v>0</v>
      </c>
      <c r="M349" s="10" t="n">
        <v>129</v>
      </c>
      <c r="N349" s="10" t="n">
        <v>0</v>
      </c>
      <c r="O349" s="10" t="n">
        <v>0</v>
      </c>
      <c r="P349" s="10" t="b">
        <v>0</v>
      </c>
    </row>
    <row r="350">
      <c r="A350" s="10" t="inlineStr">
        <is>
          <t>Catch Me If You Can</t>
        </is>
      </c>
      <c r="B350" s="10" t="inlineStr">
        <is>
          <t>card_349</t>
        </is>
      </c>
      <c r="C350" s="10" t="inlineStr">
        <is>
          <t>Steven Spielberg</t>
        </is>
      </c>
      <c r="D350" s="10" t="n">
        <v>2002</v>
      </c>
      <c r="E350" s="10" t="n">
        <v>3.25</v>
      </c>
      <c r="F350" s="10" t="n">
        <v>83</v>
      </c>
      <c r="I350" s="10" t="n">
        <v>352100000</v>
      </c>
      <c r="J350" s="10" t="b">
        <v>0</v>
      </c>
      <c r="K350" s="10" t="n">
        <v>52000000</v>
      </c>
      <c r="L350" s="10" t="b">
        <v>0</v>
      </c>
      <c r="M350" s="10" t="n">
        <v>141</v>
      </c>
      <c r="N350" s="10" t="n">
        <v>0</v>
      </c>
      <c r="O350" s="10" t="n">
        <v>0</v>
      </c>
      <c r="P350" s="10" t="b">
        <v>0</v>
      </c>
    </row>
    <row r="351">
      <c r="A351" s="10" t="inlineStr">
        <is>
          <t>Minority Report</t>
        </is>
      </c>
      <c r="B351" s="10" t="inlineStr">
        <is>
          <t>card_350</t>
        </is>
      </c>
      <c r="C351" s="10" t="inlineStr">
        <is>
          <t>Steven Spielberg</t>
        </is>
      </c>
      <c r="D351" s="10" t="n">
        <v>2002</v>
      </c>
      <c r="E351" s="10" t="n">
        <v>3.79</v>
      </c>
      <c r="F351" s="10" t="n">
        <v>78</v>
      </c>
      <c r="I351" s="10" t="n">
        <v>358400000</v>
      </c>
      <c r="J351" s="10" t="b">
        <v>0</v>
      </c>
      <c r="K351" s="10" t="n">
        <v>102000000</v>
      </c>
      <c r="L351" s="10" t="b">
        <v>0</v>
      </c>
      <c r="M351" s="10" t="n">
        <v>145</v>
      </c>
      <c r="N351" s="10" t="n">
        <v>0</v>
      </c>
      <c r="O351" s="10" t="n">
        <v>0</v>
      </c>
      <c r="P351" s="10" t="b">
        <v>0</v>
      </c>
    </row>
    <row r="352">
      <c r="A352" s="10" t="inlineStr">
        <is>
          <t>War of the Worlds</t>
        </is>
      </c>
      <c r="B352" s="10" t="inlineStr">
        <is>
          <t>card_351</t>
        </is>
      </c>
      <c r="C352" s="10" t="inlineStr">
        <is>
          <t>Steven Spielberg</t>
        </is>
      </c>
      <c r="D352" s="10" t="n">
        <v>2005</v>
      </c>
      <c r="E352" s="10" t="n">
        <v>3.37</v>
      </c>
      <c r="F352" s="10" t="n">
        <v>69</v>
      </c>
      <c r="I352" s="10" t="n">
        <v>604000000</v>
      </c>
      <c r="J352" s="10" t="b">
        <v>0</v>
      </c>
      <c r="K352" s="10" t="n">
        <v>132000000</v>
      </c>
      <c r="L352" s="10" t="b">
        <v>0</v>
      </c>
      <c r="M352" s="10" t="n">
        <v>116</v>
      </c>
      <c r="N352" s="10" t="n">
        <v>0</v>
      </c>
      <c r="O352" s="10" t="n">
        <v>0</v>
      </c>
      <c r="P352" s="10" t="b">
        <v>0</v>
      </c>
    </row>
    <row r="353">
      <c r="A353" s="10" t="inlineStr">
        <is>
          <t>Munich</t>
        </is>
      </c>
      <c r="B353" s="10" t="inlineStr">
        <is>
          <t>card_352</t>
        </is>
      </c>
      <c r="C353" s="10" t="inlineStr">
        <is>
          <t>Steven Spielberg</t>
        </is>
      </c>
      <c r="D353" s="10" t="n">
        <v>2005</v>
      </c>
      <c r="E353" s="10" t="n">
        <v>3.82</v>
      </c>
      <c r="F353" s="10" t="n">
        <v>74</v>
      </c>
      <c r="I353" s="10" t="n">
        <v>131000000</v>
      </c>
      <c r="J353" s="10" t="b">
        <v>0</v>
      </c>
      <c r="K353" s="10" t="n">
        <v>70000000</v>
      </c>
      <c r="L353" s="10" t="b">
        <v>0</v>
      </c>
      <c r="M353" s="10" t="n">
        <v>163</v>
      </c>
      <c r="N353" s="10" t="n">
        <v>0</v>
      </c>
      <c r="O353" s="10" t="n">
        <v>0</v>
      </c>
      <c r="P353" s="10" t="b">
        <v>0</v>
      </c>
    </row>
    <row r="354">
      <c r="A354" s="10" t="inlineStr">
        <is>
          <t>Bridge of Spies</t>
        </is>
      </c>
      <c r="B354" s="10" t="inlineStr">
        <is>
          <t>card_353</t>
        </is>
      </c>
      <c r="C354" s="10" t="inlineStr">
        <is>
          <t>Steven Spielberg</t>
        </is>
      </c>
      <c r="D354" s="10" t="n">
        <v>2015</v>
      </c>
      <c r="E354" s="10" t="n">
        <v>3.63</v>
      </c>
      <c r="F354" s="10" t="n">
        <v>76</v>
      </c>
      <c r="I354" s="10" t="n">
        <v>165500000</v>
      </c>
      <c r="J354" s="10" t="b">
        <v>0</v>
      </c>
      <c r="K354" s="10" t="n">
        <v>40000000</v>
      </c>
      <c r="L354" s="10" t="b">
        <v>0</v>
      </c>
      <c r="M354" s="10" t="n">
        <v>141</v>
      </c>
      <c r="N354" s="10" t="n">
        <v>1</v>
      </c>
      <c r="O354" s="10" t="n">
        <v>0</v>
      </c>
      <c r="P354" s="10" t="b">
        <v>0</v>
      </c>
    </row>
    <row r="355">
      <c r="A355" s="10" t="inlineStr">
        <is>
          <t>The Post</t>
        </is>
      </c>
      <c r="B355" s="10" t="inlineStr">
        <is>
          <t>card_354</t>
        </is>
      </c>
      <c r="C355" s="10" t="inlineStr">
        <is>
          <t>Steven Spielberg</t>
        </is>
      </c>
      <c r="D355" s="10" t="n">
        <v>2017</v>
      </c>
      <c r="E355" s="10" t="n">
        <v>3.51</v>
      </c>
      <c r="F355" s="10" t="n">
        <v>70</v>
      </c>
      <c r="I355" s="10" t="n">
        <v>179800000</v>
      </c>
      <c r="J355" s="10" t="b">
        <v>0</v>
      </c>
      <c r="K355" s="10" t="n">
        <v>50000000</v>
      </c>
      <c r="L355" s="10" t="b">
        <v>0</v>
      </c>
      <c r="M355" s="10" t="n">
        <v>116</v>
      </c>
      <c r="N355" s="10" t="n">
        <v>0</v>
      </c>
      <c r="O355" s="10" t="n">
        <v>0</v>
      </c>
      <c r="P355" s="10" t="b">
        <v>0</v>
      </c>
    </row>
    <row r="356">
      <c r="A356" s="10" t="inlineStr">
        <is>
          <t>Ready Player One</t>
        </is>
      </c>
      <c r="B356" s="10" t="inlineStr">
        <is>
          <t>card_355</t>
        </is>
      </c>
      <c r="C356" s="10" t="inlineStr">
        <is>
          <t>Steven Spielberg</t>
        </is>
      </c>
      <c r="D356" s="10" t="n">
        <v>2018</v>
      </c>
      <c r="E356" s="10" t="n">
        <v>3.37</v>
      </c>
      <c r="F356" s="10" t="n">
        <v>74</v>
      </c>
      <c r="I356" s="10" t="n">
        <v>608000000</v>
      </c>
      <c r="J356" s="10" t="b">
        <v>0</v>
      </c>
      <c r="K356" s="10" t="n">
        <v>175000000</v>
      </c>
      <c r="L356" s="10" t="b">
        <v>0</v>
      </c>
      <c r="M356" s="10" t="n">
        <v>140</v>
      </c>
      <c r="N356" s="10" t="n">
        <v>0</v>
      </c>
      <c r="O356" s="10" t="n">
        <v>0</v>
      </c>
      <c r="P356" s="10" t="b">
        <v>0</v>
      </c>
    </row>
    <row r="357">
      <c r="A357" s="10" t="inlineStr">
        <is>
          <t>West Side Story</t>
        </is>
      </c>
      <c r="B357" s="10" t="inlineStr">
        <is>
          <t>card_356</t>
        </is>
      </c>
      <c r="C357" s="10" t="inlineStr">
        <is>
          <t>Steven Spielberg</t>
        </is>
      </c>
      <c r="D357" s="10" t="n">
        <v>2021</v>
      </c>
      <c r="E357" s="10" t="n">
        <v>3.63</v>
      </c>
      <c r="F357" s="10" t="n">
        <v>73</v>
      </c>
      <c r="I357" s="10" t="n">
        <v>76000000</v>
      </c>
      <c r="J357" s="10" t="b">
        <v>0</v>
      </c>
      <c r="K357" s="10" t="n">
        <v>100000000</v>
      </c>
      <c r="L357" s="10" t="b">
        <v>0</v>
      </c>
      <c r="M357" s="10" t="n">
        <v>156</v>
      </c>
      <c r="N357" s="10" t="n">
        <v>1</v>
      </c>
      <c r="O357" s="10" t="n">
        <v>0</v>
      </c>
      <c r="P357" s="10" t="b">
        <v>0</v>
      </c>
    </row>
    <row r="358">
      <c r="A358" s="10" t="inlineStr">
        <is>
          <t>The Fabelmans</t>
        </is>
      </c>
      <c r="B358" s="10" t="inlineStr">
        <is>
          <t>card_357</t>
        </is>
      </c>
      <c r="C358" s="10" t="inlineStr">
        <is>
          <t>Steven Spielberg</t>
        </is>
      </c>
      <c r="D358" s="10" t="n">
        <v>2022</v>
      </c>
      <c r="E358" s="10" t="n">
        <v>4.01</v>
      </c>
      <c r="F358" s="10" t="n">
        <v>74</v>
      </c>
      <c r="I358" s="10" t="n">
        <v>45600000</v>
      </c>
      <c r="J358" s="10" t="b">
        <v>0</v>
      </c>
      <c r="K358" s="10" t="n">
        <v>40000000</v>
      </c>
      <c r="L358" s="10" t="b">
        <v>0</v>
      </c>
      <c r="M358" s="10" t="n">
        <v>151</v>
      </c>
      <c r="N358" s="10" t="n">
        <v>0</v>
      </c>
      <c r="O358" s="10" t="n">
        <v>0</v>
      </c>
      <c r="P358" s="10" t="b">
        <v>0</v>
      </c>
    </row>
    <row r="359">
      <c r="A359" s="10" t="inlineStr">
        <is>
          <t>A.I. Artificial Intelligence</t>
        </is>
      </c>
      <c r="B359" s="10" t="inlineStr">
        <is>
          <t>card_358</t>
        </is>
      </c>
      <c r="C359" s="10" t="inlineStr">
        <is>
          <t>Steven Spielberg</t>
        </is>
      </c>
      <c r="D359" s="10" t="n">
        <v>2001</v>
      </c>
      <c r="E359" s="10" t="n">
        <v>3.66</v>
      </c>
      <c r="F359" s="10" t="n">
        <v>74</v>
      </c>
      <c r="I359" s="10" t="n">
        <v>235900000</v>
      </c>
      <c r="J359" s="10" t="b">
        <v>0</v>
      </c>
      <c r="K359" s="10" t="n">
        <v>100000000</v>
      </c>
      <c r="L359" s="10" t="b">
        <v>0</v>
      </c>
      <c r="M359" s="10" t="n">
        <v>145</v>
      </c>
      <c r="N359" s="10" t="n">
        <v>0</v>
      </c>
      <c r="O359" s="10" t="n">
        <v>0</v>
      </c>
      <c r="P359" s="10" t="b">
        <v>0</v>
      </c>
    </row>
    <row r="360">
      <c r="A360" s="10" t="inlineStr">
        <is>
          <t>Hook</t>
        </is>
      </c>
      <c r="B360" s="10" t="inlineStr">
        <is>
          <t>card_359</t>
        </is>
      </c>
      <c r="C360" s="10" t="inlineStr">
        <is>
          <t>Steven Spielberg</t>
        </is>
      </c>
      <c r="D360" s="10" t="n">
        <v>1991</v>
      </c>
      <c r="E360" s="10" t="n">
        <v>3.48</v>
      </c>
      <c r="F360" s="10" t="n">
        <v>71</v>
      </c>
      <c r="I360" s="10" t="n">
        <v>300900000</v>
      </c>
      <c r="J360" s="10" t="b">
        <v>0</v>
      </c>
      <c r="K360" s="10" t="n">
        <v>70000000</v>
      </c>
      <c r="L360" s="10" t="b">
        <v>0</v>
      </c>
      <c r="M360" s="10" t="n">
        <v>142</v>
      </c>
      <c r="N360" s="10" t="n">
        <v>0</v>
      </c>
      <c r="O360" s="10" t="n">
        <v>0</v>
      </c>
      <c r="P360" s="10" t="b">
        <v>0</v>
      </c>
    </row>
    <row r="361">
      <c r="A361" s="10" t="inlineStr">
        <is>
          <t>Empire of the Sun</t>
        </is>
      </c>
      <c r="B361" s="10" t="inlineStr">
        <is>
          <t>card_360</t>
        </is>
      </c>
      <c r="C361" s="10" t="inlineStr">
        <is>
          <t>Steven Spielberg</t>
        </is>
      </c>
      <c r="D361" s="10" t="n">
        <v>1987</v>
      </c>
      <c r="E361" s="10" t="n">
        <v>3.86</v>
      </c>
      <c r="F361" s="10" t="n">
        <v>77</v>
      </c>
      <c r="I361" s="10" t="n">
        <v>66700000</v>
      </c>
      <c r="J361" s="10" t="b">
        <v>0</v>
      </c>
      <c r="K361" s="10" t="n">
        <v>25000000</v>
      </c>
      <c r="L361" s="10" t="b">
        <v>0</v>
      </c>
      <c r="M361" s="10" t="n">
        <v>154</v>
      </c>
      <c r="N361" s="10" t="n">
        <v>0</v>
      </c>
      <c r="O361" s="10" t="n">
        <v>0</v>
      </c>
      <c r="P361" s="10" t="b">
        <v>0</v>
      </c>
    </row>
    <row r="362">
      <c r="A362" s="10" t="inlineStr">
        <is>
          <t>The Color Purple</t>
        </is>
      </c>
      <c r="B362" s="10" t="inlineStr">
        <is>
          <t>card_361</t>
        </is>
      </c>
      <c r="C362" s="10" t="inlineStr">
        <is>
          <t>Steven Spielberg</t>
        </is>
      </c>
      <c r="D362" s="10" t="n">
        <v>1985</v>
      </c>
      <c r="E362" s="10" t="n">
        <v>3.94</v>
      </c>
      <c r="F362" s="10" t="n">
        <v>82</v>
      </c>
      <c r="I362" s="10" t="n">
        <v>98400000</v>
      </c>
      <c r="J362" s="10" t="b">
        <v>0</v>
      </c>
      <c r="K362" s="10" t="n">
        <v>15000000</v>
      </c>
      <c r="L362" s="10" t="b">
        <v>0</v>
      </c>
      <c r="M362" s="10" t="n">
        <v>154</v>
      </c>
      <c r="N362" s="10" t="n">
        <v>0</v>
      </c>
      <c r="O362" s="10" t="n">
        <v>0</v>
      </c>
      <c r="P362" s="10" t="b">
        <v>0</v>
      </c>
    </row>
    <row r="363">
      <c r="A363" s="10" t="inlineStr">
        <is>
          <t>Amistad</t>
        </is>
      </c>
      <c r="B363" s="10" t="inlineStr">
        <is>
          <t>card_362</t>
        </is>
      </c>
      <c r="C363" s="10" t="inlineStr">
        <is>
          <t>Steven Spielberg</t>
        </is>
      </c>
      <c r="D363" s="10" t="n">
        <v>1997</v>
      </c>
      <c r="E363" s="10" t="n">
        <v>3.49</v>
      </c>
      <c r="F363" s="10" t="n">
        <v>74</v>
      </c>
      <c r="I363" s="10" t="n">
        <v>58300000</v>
      </c>
      <c r="J363" s="10" t="b">
        <v>0</v>
      </c>
      <c r="K363" s="10" t="n">
        <v>39000000</v>
      </c>
      <c r="L363" s="10" t="b">
        <v>0</v>
      </c>
      <c r="M363" s="10" t="n">
        <v>154</v>
      </c>
      <c r="N363" s="10" t="n">
        <v>0</v>
      </c>
      <c r="O363" s="10" t="n">
        <v>0</v>
      </c>
      <c r="P363" s="10" t="b">
        <v>0</v>
      </c>
    </row>
    <row r="364">
      <c r="A364" s="10" t="inlineStr">
        <is>
          <t>War Horse</t>
        </is>
      </c>
      <c r="B364" s="10" t="inlineStr">
        <is>
          <t>card_363</t>
        </is>
      </c>
      <c r="C364" s="10" t="inlineStr">
        <is>
          <t>Steven Spielberg</t>
        </is>
      </c>
      <c r="D364" s="10" t="n">
        <v>2011</v>
      </c>
      <c r="E364" s="10" t="n">
        <v>3.41</v>
      </c>
      <c r="F364" s="10" t="n">
        <v>67</v>
      </c>
      <c r="I364" s="10" t="n">
        <v>177600000</v>
      </c>
      <c r="J364" s="10" t="b">
        <v>0</v>
      </c>
      <c r="K364" s="10" t="n">
        <v>66000000</v>
      </c>
      <c r="L364" s="10" t="b">
        <v>0</v>
      </c>
      <c r="M364" s="10" t="n">
        <v>146</v>
      </c>
      <c r="N364" s="10" t="n">
        <v>0</v>
      </c>
      <c r="O364" s="10" t="n">
        <v>0</v>
      </c>
      <c r="P364" s="10" t="b">
        <v>0</v>
      </c>
    </row>
    <row r="365">
      <c r="A365" s="10" t="inlineStr">
        <is>
          <t>The BFG</t>
        </is>
      </c>
      <c r="B365" s="10" t="inlineStr">
        <is>
          <t>card_364</t>
        </is>
      </c>
      <c r="C365" s="10" t="inlineStr">
        <is>
          <t>Steven Spielberg</t>
        </is>
      </c>
      <c r="D365" s="10" t="n">
        <v>2016</v>
      </c>
      <c r="E365" s="10" t="n">
        <v>3.29</v>
      </c>
      <c r="F365" s="10" t="n">
        <v>60</v>
      </c>
      <c r="I365" s="10" t="n">
        <v>195200000</v>
      </c>
      <c r="J365" s="10" t="b">
        <v>0</v>
      </c>
      <c r="K365" s="10" t="n">
        <v>140000000</v>
      </c>
      <c r="L365" s="10" t="b">
        <v>0</v>
      </c>
      <c r="M365" s="10" t="n">
        <v>118</v>
      </c>
      <c r="N365" s="10" t="n">
        <v>0</v>
      </c>
      <c r="O365" s="10" t="n">
        <v>0</v>
      </c>
      <c r="P365" s="10" t="b">
        <v>0</v>
      </c>
    </row>
    <row r="366">
      <c r="A366" s="10" t="inlineStr">
        <is>
          <t>Always</t>
        </is>
      </c>
      <c r="B366" s="10" t="inlineStr">
        <is>
          <t>card_365</t>
        </is>
      </c>
      <c r="C366" s="10" t="inlineStr">
        <is>
          <t>Steven Spielberg</t>
        </is>
      </c>
      <c r="D366" s="10" t="n">
        <v>1989</v>
      </c>
      <c r="E366" s="10" t="n">
        <v>2.92</v>
      </c>
      <c r="F366" s="10" t="n">
        <v>64</v>
      </c>
      <c r="I366" s="10" t="n">
        <v>74100000</v>
      </c>
      <c r="J366" s="10" t="b">
        <v>0</v>
      </c>
      <c r="K366" s="10" t="n">
        <v>31000000</v>
      </c>
      <c r="L366" s="10" t="b">
        <v>0</v>
      </c>
      <c r="M366" s="10" t="n">
        <v>123</v>
      </c>
      <c r="N366" s="10" t="n">
        <v>0</v>
      </c>
      <c r="O366" s="10" t="n">
        <v>0</v>
      </c>
      <c r="P366" s="10" t="b">
        <v>0</v>
      </c>
    </row>
    <row r="367">
      <c r="A367" s="10" t="inlineStr">
        <is>
          <t>Taxi Driver</t>
        </is>
      </c>
      <c r="B367" s="10" t="inlineStr">
        <is>
          <t>card_366</t>
        </is>
      </c>
      <c r="C367" s="10" t="inlineStr">
        <is>
          <t>Martin Scorsese</t>
        </is>
      </c>
      <c r="D367" s="10" t="n">
        <v>1976</v>
      </c>
      <c r="E367" s="10" t="n">
        <v>4.1</v>
      </c>
      <c r="F367" s="10" t="n">
        <v>86</v>
      </c>
      <c r="I367" s="10" t="n">
        <v>29000000</v>
      </c>
      <c r="J367" s="10" t="b">
        <v>0</v>
      </c>
      <c r="K367" s="10" t="n">
        <v>1900000</v>
      </c>
      <c r="L367" s="10" t="b">
        <v>0</v>
      </c>
      <c r="M367" s="10" t="n">
        <v>114</v>
      </c>
      <c r="N367" s="10" t="n">
        <v>0</v>
      </c>
      <c r="O367" s="10" t="n">
        <v>1</v>
      </c>
      <c r="P367" s="10" t="b">
        <v>0</v>
      </c>
    </row>
    <row r="368">
      <c r="A368" s="10" t="inlineStr">
        <is>
          <t>The Departed</t>
        </is>
      </c>
      <c r="B368" s="10" t="inlineStr">
        <is>
          <t>card_367</t>
        </is>
      </c>
      <c r="C368" s="10" t="inlineStr">
        <is>
          <t>Martin Scorsese</t>
        </is>
      </c>
      <c r="D368" s="10" t="n">
        <v>2006</v>
      </c>
      <c r="E368" s="10" t="n">
        <v>4.35</v>
      </c>
      <c r="F368" s="10" t="n">
        <v>86</v>
      </c>
      <c r="I368" s="10" t="n">
        <v>291500000</v>
      </c>
      <c r="J368" s="10" t="b">
        <v>0</v>
      </c>
      <c r="K368" s="10" t="n">
        <v>90000000</v>
      </c>
      <c r="L368" s="10" t="b">
        <v>0</v>
      </c>
      <c r="M368" s="10" t="n">
        <v>151</v>
      </c>
      <c r="N368" s="10" t="n">
        <v>4</v>
      </c>
      <c r="O368" s="10" t="n">
        <v>1</v>
      </c>
      <c r="P368" s="10" t="b">
        <v>0</v>
      </c>
    </row>
    <row r="369">
      <c r="A369" s="10" t="inlineStr">
        <is>
          <t>Casino</t>
        </is>
      </c>
      <c r="B369" s="10" t="inlineStr">
        <is>
          <t>card_368</t>
        </is>
      </c>
      <c r="C369" s="10" t="inlineStr">
        <is>
          <t>Martin Scorsese</t>
        </is>
      </c>
      <c r="D369" s="10" t="n">
        <v>1995</v>
      </c>
      <c r="E369" s="10" t="n">
        <v>4.22</v>
      </c>
      <c r="F369" s="10" t="n">
        <v>83</v>
      </c>
      <c r="I369" s="10" t="n">
        <v>116100000</v>
      </c>
      <c r="J369" s="10" t="b">
        <v>0</v>
      </c>
      <c r="K369" s="10" t="n">
        <v>45000000</v>
      </c>
      <c r="L369" s="10" t="b">
        <v>0</v>
      </c>
      <c r="M369" s="10" t="n">
        <v>178</v>
      </c>
      <c r="N369" s="10" t="n">
        <v>0</v>
      </c>
      <c r="O369" s="10" t="n">
        <v>1</v>
      </c>
      <c r="P369" s="10" t="b">
        <v>0</v>
      </c>
    </row>
    <row r="370">
      <c r="A370" s="10" t="inlineStr">
        <is>
          <t>The Wolf of Wall Street</t>
        </is>
      </c>
      <c r="B370" s="10" t="inlineStr">
        <is>
          <t>card_369</t>
        </is>
      </c>
      <c r="C370" s="10" t="inlineStr">
        <is>
          <t>Martin Scorsese</t>
        </is>
      </c>
      <c r="D370" s="10" t="n">
        <v>2013</v>
      </c>
      <c r="E370" s="10" t="n">
        <v>4</v>
      </c>
      <c r="F370" s="10" t="n">
        <v>81</v>
      </c>
      <c r="I370" s="10" t="n">
        <v>407000000</v>
      </c>
      <c r="J370" s="10" t="b">
        <v>0</v>
      </c>
      <c r="K370" s="10" t="n">
        <v>100000000</v>
      </c>
      <c r="L370" s="10" t="b">
        <v>0</v>
      </c>
      <c r="M370" s="10" t="n">
        <v>179</v>
      </c>
      <c r="N370" s="10" t="n">
        <v>0</v>
      </c>
      <c r="O370" s="10" t="n">
        <v>1</v>
      </c>
      <c r="P370" s="10" t="b">
        <v>0</v>
      </c>
    </row>
    <row r="371">
      <c r="A371" s="10" t="inlineStr">
        <is>
          <t>Shutter Island</t>
        </is>
      </c>
      <c r="B371" s="10" t="inlineStr">
        <is>
          <t>card_370</t>
        </is>
      </c>
      <c r="C371" s="10" t="inlineStr">
        <is>
          <t>Martin Scorsese</t>
        </is>
      </c>
      <c r="D371" s="10" t="n">
        <v>2010</v>
      </c>
      <c r="E371" s="10" t="n">
        <v>4.2</v>
      </c>
      <c r="F371" s="10" t="n">
        <v>83</v>
      </c>
      <c r="I371" s="10" t="n">
        <v>294800000</v>
      </c>
      <c r="J371" s="10" t="b">
        <v>0</v>
      </c>
      <c r="K371" s="10" t="n">
        <v>80000000</v>
      </c>
      <c r="L371" s="10" t="b">
        <v>0</v>
      </c>
      <c r="M371" s="10" t="n">
        <v>138</v>
      </c>
      <c r="N371" s="10" t="n">
        <v>0</v>
      </c>
      <c r="O371" s="10" t="n">
        <v>1</v>
      </c>
      <c r="P371" s="10" t="b">
        <v>0</v>
      </c>
    </row>
    <row r="372">
      <c r="A372" s="10" t="inlineStr">
        <is>
          <t>Mean Streets</t>
        </is>
      </c>
      <c r="B372" s="10" t="inlineStr">
        <is>
          <t>card_371</t>
        </is>
      </c>
      <c r="C372" s="10" t="inlineStr">
        <is>
          <t>Martin Scorsese</t>
        </is>
      </c>
      <c r="D372" s="10" t="n">
        <v>1973</v>
      </c>
      <c r="E372" s="10" t="n">
        <v>3.71</v>
      </c>
      <c r="F372" s="10" t="n">
        <v>75</v>
      </c>
      <c r="I372" s="10" t="n">
        <v>3000000</v>
      </c>
      <c r="J372" s="10" t="b">
        <v>0</v>
      </c>
      <c r="K372" s="10" t="n">
        <v>650000</v>
      </c>
      <c r="L372" s="10" t="b">
        <v>0</v>
      </c>
      <c r="M372" s="10" t="n">
        <v>112</v>
      </c>
      <c r="N372" s="10" t="n">
        <v>0</v>
      </c>
      <c r="O372" s="10" t="n">
        <v>1</v>
      </c>
      <c r="P372" s="10" t="b">
        <v>0</v>
      </c>
    </row>
    <row r="373">
      <c r="A373" s="10" t="inlineStr">
        <is>
          <t>The Last Temptation of Christ</t>
        </is>
      </c>
      <c r="B373" s="10" t="inlineStr">
        <is>
          <t>card_372</t>
        </is>
      </c>
      <c r="C373" s="10" t="inlineStr">
        <is>
          <t>Martin Scorsese</t>
        </is>
      </c>
      <c r="D373" s="10" t="n">
        <v>1988</v>
      </c>
      <c r="E373" s="10" t="n">
        <v>3.92</v>
      </c>
      <c r="F373" s="10" t="n">
        <v>76</v>
      </c>
      <c r="I373" s="10" t="n">
        <v>33800000</v>
      </c>
      <c r="J373" s="10" t="b">
        <v>0</v>
      </c>
      <c r="K373" s="10" t="n">
        <v>7000000</v>
      </c>
      <c r="L373" s="10" t="b">
        <v>0</v>
      </c>
      <c r="M373" s="10" t="n">
        <v>163</v>
      </c>
      <c r="N373" s="10" t="n">
        <v>0</v>
      </c>
      <c r="O373" s="10" t="n">
        <v>1</v>
      </c>
      <c r="P373" s="10" t="b">
        <v>0</v>
      </c>
    </row>
    <row r="374">
      <c r="A374" s="10" t="inlineStr">
        <is>
          <t>The Aviator</t>
        </is>
      </c>
      <c r="B374" s="10" t="inlineStr">
        <is>
          <t>card_373</t>
        </is>
      </c>
      <c r="C374" s="10" t="inlineStr">
        <is>
          <t>Martin Scorsese</t>
        </is>
      </c>
      <c r="D374" s="10" t="n">
        <v>2004</v>
      </c>
      <c r="E374" s="10" t="n">
        <v>3.76</v>
      </c>
      <c r="F374" s="10" t="n">
        <v>79</v>
      </c>
      <c r="I374" s="10" t="n">
        <v>214000000</v>
      </c>
      <c r="J374" s="10" t="b">
        <v>0</v>
      </c>
      <c r="K374" s="10" t="n">
        <v>110000000</v>
      </c>
      <c r="L374" s="10" t="b">
        <v>0</v>
      </c>
      <c r="M374" s="10" t="n">
        <v>170</v>
      </c>
      <c r="N374" s="10" t="n">
        <v>5</v>
      </c>
      <c r="O374" s="10" t="n">
        <v>1</v>
      </c>
      <c r="P374" s="10" t="b">
        <v>0</v>
      </c>
    </row>
    <row r="375">
      <c r="A375" s="10" t="inlineStr">
        <is>
          <t>Cape Fear</t>
        </is>
      </c>
      <c r="B375" s="10" t="inlineStr">
        <is>
          <t>card_374</t>
        </is>
      </c>
      <c r="C375" s="10" t="inlineStr">
        <is>
          <t>Martin Scorsese</t>
        </is>
      </c>
      <c r="D375" s="10" t="n">
        <v>1991</v>
      </c>
      <c r="E375" s="10" t="n">
        <v>3.72</v>
      </c>
      <c r="F375" s="10" t="n">
        <v>75</v>
      </c>
      <c r="I375" s="10" t="n">
        <v>182300000</v>
      </c>
      <c r="J375" s="10" t="b">
        <v>0</v>
      </c>
      <c r="K375" s="10" t="n">
        <v>35000000</v>
      </c>
      <c r="L375" s="10" t="b">
        <v>0</v>
      </c>
      <c r="M375" s="10" t="n">
        <v>128</v>
      </c>
      <c r="N375" s="10" t="n">
        <v>0</v>
      </c>
      <c r="O375" s="10" t="n">
        <v>1</v>
      </c>
      <c r="P375" s="10" t="b">
        <v>0</v>
      </c>
    </row>
    <row r="376">
      <c r="A376" s="10" t="inlineStr">
        <is>
          <t>After Hours</t>
        </is>
      </c>
      <c r="B376" s="10" t="inlineStr">
        <is>
          <t>card_375</t>
        </is>
      </c>
      <c r="C376" s="10" t="inlineStr">
        <is>
          <t>Martin Scorsese</t>
        </is>
      </c>
      <c r="D376" s="10" t="n">
        <v>1985</v>
      </c>
      <c r="E376" s="10" t="n">
        <v>4.13</v>
      </c>
      <c r="F376" s="10" t="n">
        <v>81</v>
      </c>
      <c r="I376" s="10" t="n">
        <v>10600000</v>
      </c>
      <c r="J376" s="10" t="b">
        <v>0</v>
      </c>
      <c r="K376" s="10" t="n">
        <v>4500000</v>
      </c>
      <c r="L376" s="10" t="b">
        <v>0</v>
      </c>
      <c r="M376" s="10" t="n">
        <v>97</v>
      </c>
      <c r="N376" s="10" t="n">
        <v>0</v>
      </c>
      <c r="O376" s="10" t="n">
        <v>1</v>
      </c>
      <c r="P376" s="10" t="b">
        <v>0</v>
      </c>
    </row>
    <row r="377">
      <c r="A377" s="10" t="inlineStr">
        <is>
          <t>A Fistful of Dollars</t>
        </is>
      </c>
      <c r="B377" s="10" t="inlineStr">
        <is>
          <t>card_376</t>
        </is>
      </c>
      <c r="C377" s="10" t="inlineStr">
        <is>
          <t>Sergio Leone</t>
        </is>
      </c>
      <c r="D377" s="10" t="n">
        <v>1964</v>
      </c>
      <c r="E377" s="10" t="n">
        <v>3.98</v>
      </c>
      <c r="F377" s="10" t="n">
        <v>79</v>
      </c>
      <c r="I377" s="10" t="n">
        <v>19900000</v>
      </c>
      <c r="J377" s="10" t="b">
        <v>0</v>
      </c>
      <c r="K377" s="10" t="n">
        <v>220000</v>
      </c>
      <c r="L377" s="10" t="b">
        <v>0</v>
      </c>
      <c r="M377" s="10" t="n">
        <v>99</v>
      </c>
      <c r="N377" s="10" t="n">
        <v>0</v>
      </c>
      <c r="O377" s="10" t="n">
        <v>0</v>
      </c>
      <c r="P377" s="10" t="b">
        <v>0</v>
      </c>
    </row>
    <row r="378">
      <c r="A378" s="10" t="inlineStr">
        <is>
          <t>For a Few Dollars More</t>
        </is>
      </c>
      <c r="B378" s="10" t="inlineStr">
        <is>
          <t>card_377</t>
        </is>
      </c>
      <c r="C378" s="10" t="inlineStr">
        <is>
          <t>Sergio Leone</t>
        </is>
      </c>
      <c r="D378" s="10" t="n">
        <v>1965</v>
      </c>
      <c r="E378" s="10" t="n">
        <v>4.25</v>
      </c>
      <c r="F378" s="10" t="n">
        <v>83</v>
      </c>
      <c r="I378" s="10" t="n">
        <v>25500000</v>
      </c>
      <c r="J378" s="10" t="b">
        <v>0</v>
      </c>
      <c r="K378" s="10" t="n">
        <v>600000</v>
      </c>
      <c r="L378" s="10" t="b">
        <v>0</v>
      </c>
      <c r="M378" s="10" t="n">
        <v>132</v>
      </c>
      <c r="N378" s="10" t="n">
        <v>0</v>
      </c>
      <c r="O378" s="10" t="n">
        <v>0</v>
      </c>
      <c r="P378" s="10" t="b">
        <v>0</v>
      </c>
    </row>
    <row r="379">
      <c r="A379" s="10" t="inlineStr">
        <is>
          <t>Once Upon a Time in America</t>
        </is>
      </c>
      <c r="B379" s="10" t="inlineStr">
        <is>
          <t>card_378</t>
        </is>
      </c>
      <c r="C379" s="10" t="inlineStr">
        <is>
          <t>Sergio Leone</t>
        </is>
      </c>
      <c r="D379" s="10" t="n">
        <v>1984</v>
      </c>
      <c r="E379" s="10" t="n">
        <v>4.22</v>
      </c>
      <c r="F379" s="10" t="n">
        <v>83</v>
      </c>
      <c r="I379" s="10" t="n">
        <v>5500000</v>
      </c>
      <c r="J379" s="10" t="b">
        <v>0</v>
      </c>
      <c r="K379" s="10" t="n">
        <v>30000000</v>
      </c>
      <c r="L379" s="10" t="b">
        <v>0</v>
      </c>
      <c r="M379" s="10" t="n">
        <v>229</v>
      </c>
      <c r="N379" s="10" t="n">
        <v>0</v>
      </c>
      <c r="O379" s="10" t="n">
        <v>0</v>
      </c>
      <c r="P379" s="10" t="b">
        <v>0</v>
      </c>
    </row>
    <row r="380">
      <c r="A380" s="10" t="inlineStr">
        <is>
          <t>Duck, You Sucker!</t>
        </is>
      </c>
      <c r="B380" s="10" t="inlineStr">
        <is>
          <t>card_379</t>
        </is>
      </c>
      <c r="C380" s="10" t="inlineStr">
        <is>
          <t>Sergio Leone</t>
        </is>
      </c>
      <c r="D380" s="10" t="n">
        <v>1971</v>
      </c>
      <c r="E380" s="10" t="n">
        <v>3.96</v>
      </c>
      <c r="F380" s="10" t="n">
        <v>79</v>
      </c>
      <c r="I380" s="10" t="n">
        <v>10000000</v>
      </c>
      <c r="J380" s="10" t="b">
        <v>1</v>
      </c>
      <c r="K380" s="10" t="n">
        <v>3000000</v>
      </c>
      <c r="L380" s="10" t="b">
        <v>1</v>
      </c>
      <c r="M380" s="10" t="n">
        <v>157</v>
      </c>
      <c r="N380" s="10" t="n">
        <v>0</v>
      </c>
      <c r="O380" s="10" t="n">
        <v>0</v>
      </c>
      <c r="P380" s="10" t="b">
        <v>0</v>
      </c>
    </row>
    <row r="381">
      <c r="A381" s="10" t="inlineStr">
        <is>
          <t>Following</t>
        </is>
      </c>
      <c r="B381" s="10" t="inlineStr">
        <is>
          <t>card_380</t>
        </is>
      </c>
      <c r="C381" s="10" t="inlineStr">
        <is>
          <t>Christopher Nolan</t>
        </is>
      </c>
      <c r="D381" s="10" t="n">
        <v>1998</v>
      </c>
      <c r="E381" s="10" t="n">
        <v>3.47</v>
      </c>
      <c r="F381" s="10" t="n">
        <v>75</v>
      </c>
      <c r="I381" s="10" t="n">
        <v>126052</v>
      </c>
      <c r="J381" s="10" t="b">
        <v>0</v>
      </c>
      <c r="K381" s="10" t="n">
        <v>6000</v>
      </c>
      <c r="L381" s="10" t="b">
        <v>0</v>
      </c>
      <c r="M381" s="10" t="n">
        <v>70</v>
      </c>
      <c r="N381" s="10" t="n">
        <v>0</v>
      </c>
      <c r="O381" s="10" t="n">
        <v>2</v>
      </c>
      <c r="P381" s="10" t="b">
        <v>0</v>
      </c>
    </row>
    <row r="382">
      <c r="A382" s="10" t="inlineStr">
        <is>
          <t>Insomnia</t>
        </is>
      </c>
      <c r="B382" s="10" t="inlineStr">
        <is>
          <t>card_381</t>
        </is>
      </c>
      <c r="C382" s="10" t="inlineStr">
        <is>
          <t>Christopher Nolan</t>
        </is>
      </c>
      <c r="D382" s="10" t="n">
        <v>2002</v>
      </c>
      <c r="E382" s="10" t="n">
        <v>3.55</v>
      </c>
      <c r="F382" s="10" t="n">
        <v>76</v>
      </c>
      <c r="I382" s="10" t="n">
        <v>113800000</v>
      </c>
      <c r="J382" s="10" t="b">
        <v>0</v>
      </c>
      <c r="K382" s="10" t="n">
        <v>46000000</v>
      </c>
      <c r="L382" s="10" t="b">
        <v>0</v>
      </c>
      <c r="M382" s="10" t="n">
        <v>118</v>
      </c>
      <c r="N382" s="10" t="n">
        <v>0</v>
      </c>
      <c r="O382" s="10" t="n">
        <v>2</v>
      </c>
      <c r="P382" s="10" t="b">
        <v>0</v>
      </c>
    </row>
    <row r="383">
      <c r="A383" s="10" t="inlineStr">
        <is>
          <t>Batman Begins</t>
        </is>
      </c>
      <c r="B383" s="10" t="inlineStr">
        <is>
          <t>card_382</t>
        </is>
      </c>
      <c r="C383" s="10" t="inlineStr">
        <is>
          <t>Christopher Nolan</t>
        </is>
      </c>
      <c r="D383" s="10" t="n">
        <v>2005</v>
      </c>
      <c r="E383" s="10" t="n">
        <v>3.85</v>
      </c>
      <c r="F383" s="10" t="n">
        <v>83</v>
      </c>
      <c r="I383" s="10" t="n">
        <v>375600000</v>
      </c>
      <c r="J383" s="10" t="b">
        <v>0</v>
      </c>
      <c r="K383" s="10" t="n">
        <v>150000000</v>
      </c>
      <c r="L383" s="10" t="b">
        <v>0</v>
      </c>
      <c r="M383" s="10" t="n">
        <v>140</v>
      </c>
      <c r="N383" s="10" t="n">
        <v>0</v>
      </c>
      <c r="O383" s="10" t="n">
        <v>2</v>
      </c>
      <c r="P383" s="10" t="b">
        <v>0</v>
      </c>
    </row>
    <row r="384">
      <c r="A384" s="10" t="inlineStr">
        <is>
          <t>The Dark Knight Rises</t>
        </is>
      </c>
      <c r="B384" s="10" t="inlineStr">
        <is>
          <t>card_383</t>
        </is>
      </c>
      <c r="C384" s="10" t="inlineStr">
        <is>
          <t>Christopher Nolan</t>
        </is>
      </c>
      <c r="D384" s="10" t="n">
        <v>2012</v>
      </c>
      <c r="E384" s="10" t="n">
        <v>3.83</v>
      </c>
      <c r="F384" s="10" t="n">
        <v>84</v>
      </c>
      <c r="I384" s="10" t="n">
        <v>1085000000</v>
      </c>
      <c r="J384" s="10" t="b">
        <v>0</v>
      </c>
      <c r="K384" s="10" t="n">
        <v>250000000</v>
      </c>
      <c r="L384" s="10" t="b">
        <v>0</v>
      </c>
      <c r="M384" s="10" t="n">
        <v>164</v>
      </c>
      <c r="N384" s="10" t="n">
        <v>0</v>
      </c>
      <c r="O384" s="10" t="n">
        <v>2</v>
      </c>
      <c r="P384" s="10" t="b">
        <v>0</v>
      </c>
    </row>
    <row r="385">
      <c r="A385" s="10" t="inlineStr">
        <is>
          <t>Inception</t>
        </is>
      </c>
      <c r="B385" s="10" t="inlineStr">
        <is>
          <t>card_384</t>
        </is>
      </c>
      <c r="C385" s="10" t="inlineStr">
        <is>
          <t>Christopher Nolan</t>
        </is>
      </c>
      <c r="D385" s="10" t="n">
        <v>2010</v>
      </c>
      <c r="E385" s="10" t="n">
        <v>4.24</v>
      </c>
      <c r="F385" s="10" t="n">
        <v>88</v>
      </c>
      <c r="I385" s="10" t="n">
        <v>839000000</v>
      </c>
      <c r="J385" s="10" t="b">
        <v>0</v>
      </c>
      <c r="K385" s="10" t="n">
        <v>160000000</v>
      </c>
      <c r="L385" s="10" t="b">
        <v>0</v>
      </c>
      <c r="M385" s="10" t="n">
        <v>148</v>
      </c>
      <c r="N385" s="10" t="n">
        <v>4</v>
      </c>
      <c r="O385" s="10" t="n">
        <v>2</v>
      </c>
      <c r="P385" s="10" t="b">
        <v>0</v>
      </c>
    </row>
    <row r="386">
      <c r="A386" s="10" t="inlineStr">
        <is>
          <t>Dunkirk</t>
        </is>
      </c>
      <c r="B386" s="10" t="inlineStr">
        <is>
          <t>card_385</t>
        </is>
      </c>
      <c r="C386" s="10" t="inlineStr">
        <is>
          <t>Christopher Nolan</t>
        </is>
      </c>
      <c r="D386" s="10" t="n">
        <v>2017</v>
      </c>
      <c r="E386" s="10" t="n">
        <v>3.77</v>
      </c>
      <c r="F386" s="10" t="n">
        <v>82</v>
      </c>
      <c r="I386" s="10" t="n">
        <v>549900000</v>
      </c>
      <c r="J386" s="10" t="b">
        <v>0</v>
      </c>
      <c r="K386" s="10" t="n">
        <v>100000000</v>
      </c>
      <c r="L386" s="10" t="b">
        <v>0</v>
      </c>
      <c r="M386" s="10" t="n">
        <v>106</v>
      </c>
      <c r="N386" s="10" t="n">
        <v>3</v>
      </c>
      <c r="O386" s="10" t="n">
        <v>2</v>
      </c>
      <c r="P386" s="10" t="b">
        <v>0</v>
      </c>
    </row>
    <row r="387">
      <c r="A387" s="10" t="inlineStr">
        <is>
          <t>Tenet</t>
        </is>
      </c>
      <c r="B387" s="10" t="inlineStr">
        <is>
          <t>card_386</t>
        </is>
      </c>
      <c r="C387" s="10" t="inlineStr">
        <is>
          <t>Christopher Nolan</t>
        </is>
      </c>
      <c r="D387" s="10" t="n">
        <v>2020</v>
      </c>
      <c r="E387" s="10" t="n">
        <v>3.47</v>
      </c>
      <c r="F387" s="10" t="n">
        <v>72</v>
      </c>
      <c r="I387" s="10" t="n">
        <v>376600000</v>
      </c>
      <c r="J387" s="10" t="b">
        <v>0</v>
      </c>
      <c r="K387" s="10" t="n">
        <v>205000000</v>
      </c>
      <c r="L387" s="10" t="b">
        <v>0</v>
      </c>
      <c r="M387" s="10" t="n">
        <v>150</v>
      </c>
      <c r="N387" s="10" t="n">
        <v>1</v>
      </c>
      <c r="O387" s="10" t="n">
        <v>2</v>
      </c>
      <c r="P387" s="10" t="b">
        <v>0</v>
      </c>
    </row>
    <row r="388">
      <c r="A388" s="10" t="inlineStr">
        <is>
          <t>Kill Bill: Volume 1</t>
        </is>
      </c>
      <c r="B388" s="10" t="inlineStr">
        <is>
          <t>card_387</t>
        </is>
      </c>
      <c r="C388" s="10" t="inlineStr">
        <is>
          <t>Quentin Tarantino</t>
        </is>
      </c>
      <c r="D388" s="10" t="n">
        <v>2003</v>
      </c>
      <c r="E388" s="10" t="n">
        <v>4.22</v>
      </c>
      <c r="F388" s="10" t="n">
        <v>83</v>
      </c>
      <c r="I388" s="10" t="n">
        <v>180900000</v>
      </c>
      <c r="J388" s="10" t="b">
        <v>0</v>
      </c>
      <c r="K388" s="10" t="n">
        <v>30000000</v>
      </c>
      <c r="L388" s="10" t="b">
        <v>0</v>
      </c>
      <c r="M388" s="10" t="n">
        <v>110</v>
      </c>
      <c r="N388" s="10" t="n">
        <v>0</v>
      </c>
      <c r="O388" s="10" t="n">
        <v>2</v>
      </c>
      <c r="P388" s="10" t="b">
        <v>0</v>
      </c>
    </row>
    <row r="389">
      <c r="A389" s="10" t="inlineStr">
        <is>
          <t>Kill Bill: Volume 2</t>
        </is>
      </c>
      <c r="B389" s="10" t="inlineStr">
        <is>
          <t>card_388</t>
        </is>
      </c>
      <c r="C389" s="10" t="inlineStr">
        <is>
          <t>Quentin Tarantino</t>
        </is>
      </c>
      <c r="D389" s="10" t="n">
        <v>2004</v>
      </c>
      <c r="E389" s="10" t="n">
        <v>4.11</v>
      </c>
      <c r="F389" s="10" t="n">
        <v>82</v>
      </c>
      <c r="I389" s="10" t="n">
        <v>152300000</v>
      </c>
      <c r="J389" s="10" t="b">
        <v>0</v>
      </c>
      <c r="K389" s="10" t="n">
        <v>30000000</v>
      </c>
      <c r="L389" s="10" t="b">
        <v>0</v>
      </c>
      <c r="M389" s="10" t="n">
        <v>137</v>
      </c>
      <c r="N389" s="10" t="n">
        <v>0</v>
      </c>
      <c r="O389" s="10" t="n">
        <v>2</v>
      </c>
      <c r="P389" s="10" t="b">
        <v>0</v>
      </c>
    </row>
    <row r="390">
      <c r="A390" s="10" t="inlineStr">
        <is>
          <t>Jackie Brown</t>
        </is>
      </c>
      <c r="B390" s="10" t="inlineStr">
        <is>
          <t>card_389</t>
        </is>
      </c>
      <c r="C390" s="10" t="inlineStr">
        <is>
          <t>Quentin Tarantino</t>
        </is>
      </c>
      <c r="D390" s="10" t="n">
        <v>1997</v>
      </c>
      <c r="E390" s="10" t="n">
        <v>3.88</v>
      </c>
      <c r="F390" s="10" t="n">
        <v>76</v>
      </c>
      <c r="I390" s="10" t="n">
        <v>74700000</v>
      </c>
      <c r="J390" s="10" t="b">
        <v>0</v>
      </c>
      <c r="K390" s="10" t="n">
        <v>12000000</v>
      </c>
      <c r="L390" s="10" t="b">
        <v>0</v>
      </c>
      <c r="M390" s="10" t="n">
        <v>154</v>
      </c>
      <c r="N390" s="10" t="n">
        <v>0</v>
      </c>
      <c r="O390" s="10" t="n">
        <v>2</v>
      </c>
      <c r="P390" s="10" t="b">
        <v>0</v>
      </c>
    </row>
    <row r="391">
      <c r="A391" s="10" t="inlineStr">
        <is>
          <t>Death Proof</t>
        </is>
      </c>
      <c r="B391" s="10" t="inlineStr">
        <is>
          <t>card_390</t>
        </is>
      </c>
      <c r="C391" s="10" t="inlineStr">
        <is>
          <t>Quentin Tarantino</t>
        </is>
      </c>
      <c r="D391" s="10" t="n">
        <v>2007</v>
      </c>
      <c r="E391" s="10" t="n">
        <v>3.59</v>
      </c>
      <c r="I391" s="10" t="n">
        <v>31100000</v>
      </c>
      <c r="J391" s="10" t="b">
        <v>0</v>
      </c>
      <c r="K391" s="10" t="n">
        <v>30000000</v>
      </c>
      <c r="L391" s="10" t="b">
        <v>0</v>
      </c>
      <c r="M391" s="10" t="n">
        <v>113</v>
      </c>
      <c r="N391" s="10" t="n">
        <v>0</v>
      </c>
      <c r="O391" s="10" t="n">
        <v>2</v>
      </c>
      <c r="P391" s="10" t="b">
        <v>0</v>
      </c>
    </row>
    <row r="392">
      <c r="A392" s="10" t="inlineStr">
        <is>
          <t>Inglourious Basterds</t>
        </is>
      </c>
      <c r="B392" s="10" t="inlineStr">
        <is>
          <t>card_391</t>
        </is>
      </c>
      <c r="C392" s="10" t="inlineStr">
        <is>
          <t>Quentin Tarantino</t>
        </is>
      </c>
      <c r="D392" s="10" t="n">
        <v>2009</v>
      </c>
      <c r="E392" s="10" t="n">
        <v>4.37</v>
      </c>
      <c r="F392" s="10" t="n">
        <v>83</v>
      </c>
      <c r="I392" s="10" t="n">
        <v>321500000</v>
      </c>
      <c r="J392" s="10" t="b">
        <v>0</v>
      </c>
      <c r="K392" s="10" t="n">
        <v>70000000</v>
      </c>
      <c r="L392" s="10" t="b">
        <v>0</v>
      </c>
      <c r="M392" s="10" t="n">
        <v>153</v>
      </c>
      <c r="N392" s="10" t="n">
        <v>1</v>
      </c>
      <c r="O392" s="10" t="n">
        <v>2</v>
      </c>
      <c r="P392" s="10" t="b">
        <v>0</v>
      </c>
    </row>
    <row r="393">
      <c r="A393" s="10" t="inlineStr">
        <is>
          <t>Django Unchained</t>
        </is>
      </c>
      <c r="B393" s="10" t="inlineStr">
        <is>
          <t>card_392</t>
        </is>
      </c>
      <c r="C393" s="10" t="inlineStr">
        <is>
          <t>Quentin Tarantino</t>
        </is>
      </c>
      <c r="D393" s="10" t="n">
        <v>2012</v>
      </c>
      <c r="E393" s="10" t="n">
        <v>4.34</v>
      </c>
      <c r="F393" s="10" t="n">
        <v>86</v>
      </c>
      <c r="I393" s="10" t="n">
        <v>449800000</v>
      </c>
      <c r="J393" s="10" t="b">
        <v>0</v>
      </c>
      <c r="K393" s="10" t="n">
        <v>100000000</v>
      </c>
      <c r="L393" s="10" t="b">
        <v>0</v>
      </c>
      <c r="M393" s="10" t="n">
        <v>165</v>
      </c>
      <c r="N393" s="10" t="n">
        <v>2</v>
      </c>
      <c r="O393" s="10" t="n">
        <v>2</v>
      </c>
      <c r="P393" s="10" t="b">
        <v>0</v>
      </c>
    </row>
    <row r="394">
      <c r="A394" s="10" t="inlineStr">
        <is>
          <t>The Hateful Eight</t>
        </is>
      </c>
      <c r="B394" s="10" t="inlineStr">
        <is>
          <t>card_393</t>
        </is>
      </c>
      <c r="C394" s="10" t="inlineStr">
        <is>
          <t>Quentin Tarantino</t>
        </is>
      </c>
      <c r="D394" s="10" t="n">
        <v>2015</v>
      </c>
      <c r="E394" s="10" t="n">
        <v>4.04</v>
      </c>
      <c r="F394" s="10" t="n">
        <v>76</v>
      </c>
      <c r="I394" s="10" t="n">
        <v>161200000</v>
      </c>
      <c r="J394" s="10" t="b">
        <v>0</v>
      </c>
      <c r="K394" s="10" t="n">
        <v>44000000</v>
      </c>
      <c r="L394" s="10" t="b">
        <v>0</v>
      </c>
      <c r="M394" s="10" t="n">
        <v>168</v>
      </c>
      <c r="N394" s="10" t="n">
        <v>1</v>
      </c>
      <c r="O394" s="10" t="n">
        <v>2</v>
      </c>
      <c r="P394" s="10" t="b">
        <v>0</v>
      </c>
    </row>
    <row r="395">
      <c r="A395" s="10" t="inlineStr">
        <is>
          <t>Once Upon a Time in Hollywood</t>
        </is>
      </c>
      <c r="B395" s="10" t="inlineStr">
        <is>
          <t>card_394</t>
        </is>
      </c>
      <c r="C395" s="10" t="inlineStr">
        <is>
          <t>Quentin Tarantino</t>
        </is>
      </c>
      <c r="D395" s="10" t="n">
        <v>2019</v>
      </c>
      <c r="E395" s="10" t="n">
        <v>3.78</v>
      </c>
      <c r="F395" s="10" t="n">
        <v>75</v>
      </c>
      <c r="I395" s="10" t="n">
        <v>393900000</v>
      </c>
      <c r="J395" s="10" t="b">
        <v>0</v>
      </c>
      <c r="K395" s="10" t="n">
        <v>90000000</v>
      </c>
      <c r="L395" s="10" t="b">
        <v>0</v>
      </c>
      <c r="M395" s="10" t="n">
        <v>161</v>
      </c>
      <c r="N395" s="10" t="n">
        <v>2</v>
      </c>
      <c r="O395" s="10" t="n">
        <v>2</v>
      </c>
      <c r="P395" s="10" t="b">
        <v>0</v>
      </c>
    </row>
    <row r="396">
      <c r="A396" s="10" t="inlineStr">
        <is>
          <t>Monty Python's Life of Brian</t>
        </is>
      </c>
      <c r="B396" s="10" t="inlineStr">
        <is>
          <t>card_395</t>
        </is>
      </c>
      <c r="C396" s="10" t="inlineStr">
        <is>
          <t>Terry Jones</t>
        </is>
      </c>
      <c r="D396" s="10" t="n">
        <v>1979</v>
      </c>
      <c r="E396" s="10" t="n">
        <v>4</v>
      </c>
      <c r="F396" s="10" t="n">
        <v>81</v>
      </c>
      <c r="I396" s="10" t="n">
        <v>20700000</v>
      </c>
      <c r="J396" s="10" t="b">
        <v>0</v>
      </c>
      <c r="K396" s="10" t="n">
        <v>4000000</v>
      </c>
      <c r="L396" s="10" t="b">
        <v>0</v>
      </c>
      <c r="M396" s="10" t="n">
        <v>94</v>
      </c>
      <c r="N396" s="10" t="n">
        <v>0</v>
      </c>
      <c r="O396" s="10" t="n">
        <v>0</v>
      </c>
      <c r="P396" s="10" t="b">
        <v>0</v>
      </c>
    </row>
    <row r="397">
      <c r="A397" s="10" t="inlineStr">
        <is>
          <t>Monty Python's The Meaning of Life</t>
        </is>
      </c>
      <c r="B397" s="10" t="inlineStr">
        <is>
          <t>card_396</t>
        </is>
      </c>
      <c r="C397" s="10" t="inlineStr">
        <is>
          <t>Terry Jones</t>
        </is>
      </c>
      <c r="D397" s="10" t="n">
        <v>1983</v>
      </c>
      <c r="E397" s="10" t="n">
        <v>3.8</v>
      </c>
      <c r="I397" s="10" t="n">
        <v>42700000</v>
      </c>
      <c r="J397" s="10" t="b">
        <v>0</v>
      </c>
      <c r="K397" s="10" t="n">
        <v>9000000</v>
      </c>
      <c r="L397" s="10" t="b">
        <v>0</v>
      </c>
      <c r="M397" s="10" t="n">
        <v>90</v>
      </c>
      <c r="N397" s="10" t="n">
        <v>0</v>
      </c>
      <c r="O397" s="10" t="n">
        <v>0</v>
      </c>
      <c r="P397" s="10" t="b">
        <v>0</v>
      </c>
    </row>
    <row r="398">
      <c r="A398" s="10" t="inlineStr">
        <is>
          <t>And Now for Something Completely Different</t>
        </is>
      </c>
      <c r="B398" s="10" t="inlineStr">
        <is>
          <t>card_397</t>
        </is>
      </c>
      <c r="C398" s="10" t="inlineStr">
        <is>
          <t>Ian MacNaughton</t>
        </is>
      </c>
      <c r="D398" s="10" t="n">
        <v>1971</v>
      </c>
      <c r="E398" s="10" t="n">
        <v>3.79</v>
      </c>
      <c r="I398" s="10" t="n">
        <v>1000000</v>
      </c>
      <c r="J398" s="10" t="b">
        <v>1</v>
      </c>
      <c r="K398" s="10" t="n">
        <v>220000</v>
      </c>
      <c r="L398" s="10" t="b">
        <v>0</v>
      </c>
      <c r="M398" s="10" t="n">
        <v>88</v>
      </c>
      <c r="N398" s="10" t="n">
        <v>0</v>
      </c>
      <c r="O398" s="10" t="n">
        <v>0</v>
      </c>
      <c r="P398" s="10" t="b">
        <v>0</v>
      </c>
    </row>
    <row r="399">
      <c r="A399" s="10" t="inlineStr">
        <is>
          <t>The Martian</t>
        </is>
      </c>
      <c r="B399" s="10" t="inlineStr">
        <is>
          <t>card_398</t>
        </is>
      </c>
      <c r="C399" s="10" t="inlineStr">
        <is>
          <t>Ridley Scott</t>
        </is>
      </c>
      <c r="D399" s="10" t="n">
        <v>2015</v>
      </c>
      <c r="E399" s="10" t="n">
        <v>3.83</v>
      </c>
      <c r="F399" s="10" t="n">
        <v>79</v>
      </c>
      <c r="I399" s="10" t="n">
        <v>630600000</v>
      </c>
      <c r="J399" s="10" t="b">
        <v>0</v>
      </c>
      <c r="K399" s="10" t="n">
        <v>108000000</v>
      </c>
      <c r="L399" s="10" t="b">
        <v>0</v>
      </c>
      <c r="M399" s="10" t="n">
        <v>142</v>
      </c>
      <c r="N399" s="10" t="n">
        <v>0</v>
      </c>
      <c r="O399" s="10" t="n">
        <v>0</v>
      </c>
      <c r="P399" s="10" t="b">
        <v>0</v>
      </c>
    </row>
    <row r="400">
      <c r="A400" s="10" t="inlineStr">
        <is>
          <t>Project Hail Mary</t>
        </is>
      </c>
      <c r="B400" s="10" t="inlineStr">
        <is>
          <t>card_399</t>
        </is>
      </c>
      <c r="C400" s="10" t="inlineStr">
        <is>
          <t>Phil Lord and Christopher Miller</t>
        </is>
      </c>
      <c r="D400" s="10" t="n">
        <v>2026</v>
      </c>
      <c r="E400" s="10" t="n">
        <v>4.31</v>
      </c>
      <c r="F400" s="10" t="n">
        <v>82</v>
      </c>
      <c r="I400" s="10" t="n">
        <v>685000000</v>
      </c>
      <c r="J400" s="10" t="b">
        <v>0</v>
      </c>
      <c r="K400" s="10" t="n">
        <v>200000000</v>
      </c>
      <c r="L400" s="10" t="b">
        <v>0</v>
      </c>
      <c r="M400" s="10" t="n">
        <v>156</v>
      </c>
      <c r="N400" s="10" t="n">
        <v>0</v>
      </c>
      <c r="O400" s="10" t="n">
        <v>0</v>
      </c>
      <c r="P400" s="10" t="b">
        <v>0</v>
      </c>
    </row>
    <row r="401">
      <c r="A401" s="10" t="inlineStr">
        <is>
          <t>Asterix and Obelix vs. Caesar</t>
        </is>
      </c>
      <c r="B401" s="10" t="inlineStr">
        <is>
          <t>card_400</t>
        </is>
      </c>
      <c r="C401" s="10" t="inlineStr">
        <is>
          <t>Claude Zidi</t>
        </is>
      </c>
      <c r="D401" s="10" t="n">
        <v>1999</v>
      </c>
      <c r="E401" s="10" t="n">
        <v>2.99</v>
      </c>
      <c r="I401" s="10" t="n">
        <v>101600000</v>
      </c>
      <c r="J401" s="10" t="b">
        <v>0</v>
      </c>
      <c r="K401" s="10" t="n">
        <v>48500000</v>
      </c>
      <c r="L401" s="10" t="b">
        <v>0</v>
      </c>
      <c r="M401" s="10" t="n">
        <v>110</v>
      </c>
      <c r="N401" s="10" t="n">
        <v>0</v>
      </c>
      <c r="O401" s="10" t="n">
        <v>0</v>
      </c>
      <c r="P401" s="10" t="b">
        <v>0</v>
      </c>
    </row>
    <row r="402">
      <c r="A402" s="10" t="inlineStr">
        <is>
          <t>Asterix &amp; Obelix: Mission Cleopatra</t>
        </is>
      </c>
      <c r="B402" s="10" t="inlineStr">
        <is>
          <t>card_401</t>
        </is>
      </c>
      <c r="C402" s="10" t="inlineStr">
        <is>
          <t>Alain Chabat</t>
        </is>
      </c>
      <c r="D402" s="10" t="n">
        <v>2002</v>
      </c>
      <c r="E402" s="10" t="n">
        <v>3.67</v>
      </c>
      <c r="I402" s="10" t="n">
        <v>131000000</v>
      </c>
      <c r="J402" s="10" t="b">
        <v>0</v>
      </c>
      <c r="K402" s="10" t="n">
        <v>54400000</v>
      </c>
      <c r="L402" s="10" t="b">
        <v>0</v>
      </c>
      <c r="M402" s="10" t="n">
        <v>107</v>
      </c>
      <c r="N402" s="10" t="n">
        <v>0</v>
      </c>
      <c r="O402" s="10" t="n">
        <v>0</v>
      </c>
      <c r="P402" s="10" t="b">
        <v>0</v>
      </c>
    </row>
    <row r="403">
      <c r="A403" s="10" t="inlineStr">
        <is>
          <t>Asterix at the Olympic Games</t>
        </is>
      </c>
      <c r="B403" s="10" t="inlineStr">
        <is>
          <t>card_402</t>
        </is>
      </c>
      <c r="C403" s="10" t="inlineStr">
        <is>
          <t>Frederic Forestier and Thomas Langmann</t>
        </is>
      </c>
      <c r="D403" s="10" t="n">
        <v>2008</v>
      </c>
      <c r="E403" s="10" t="n">
        <v>2.68</v>
      </c>
      <c r="I403" s="10" t="n">
        <v>133000000</v>
      </c>
      <c r="J403" s="10" t="b">
        <v>0</v>
      </c>
      <c r="K403" s="10" t="n">
        <v>113500000</v>
      </c>
      <c r="L403" s="10" t="b">
        <v>0</v>
      </c>
      <c r="M403" s="10" t="n">
        <v>117</v>
      </c>
      <c r="N403" s="10" t="n">
        <v>0</v>
      </c>
      <c r="O403" s="10" t="n">
        <v>0</v>
      </c>
      <c r="P403" s="10" t="b">
        <v>0</v>
      </c>
    </row>
    <row r="404">
      <c r="A404" s="10" t="inlineStr">
        <is>
          <t>Asterix and Obelix: God Save Britannia</t>
        </is>
      </c>
      <c r="B404" s="10" t="inlineStr">
        <is>
          <t>card_403</t>
        </is>
      </c>
      <c r="C404" s="10" t="inlineStr">
        <is>
          <t>Laurent Tirard</t>
        </is>
      </c>
      <c r="D404" s="10" t="n">
        <v>2012</v>
      </c>
      <c r="E404" s="10" t="n">
        <v>2.44</v>
      </c>
      <c r="I404" s="10" t="n">
        <v>61319383</v>
      </c>
      <c r="J404" s="10" t="b">
        <v>0</v>
      </c>
      <c r="K404" s="10" t="n">
        <v>78000000</v>
      </c>
      <c r="L404" s="10" t="b">
        <v>0</v>
      </c>
      <c r="M404" s="10" t="n">
        <v>110</v>
      </c>
      <c r="N404" s="10" t="n">
        <v>0</v>
      </c>
      <c r="O404" s="10" t="n">
        <v>0</v>
      </c>
      <c r="P404" s="10" t="b">
        <v>0</v>
      </c>
    </row>
    <row r="405">
      <c r="A405" s="10" t="inlineStr">
        <is>
          <t>Asterix &amp; Obelix: The Middle Kingdom</t>
        </is>
      </c>
      <c r="B405" s="10" t="inlineStr">
        <is>
          <t>card_404</t>
        </is>
      </c>
      <c r="C405" s="10" t="inlineStr">
        <is>
          <t>Guillaume Canet</t>
        </is>
      </c>
      <c r="D405" s="10" t="n">
        <v>2023</v>
      </c>
      <c r="E405" s="10" t="n">
        <v>2.25</v>
      </c>
      <c r="I405" s="10" t="n">
        <v>46500000</v>
      </c>
      <c r="J405" s="10" t="b">
        <v>0</v>
      </c>
      <c r="K405" s="10" t="n">
        <v>72400000</v>
      </c>
      <c r="L405" s="10" t="b">
        <v>0</v>
      </c>
      <c r="M405" s="10" t="n">
        <v>111</v>
      </c>
      <c r="N405" s="10" t="n">
        <v>0</v>
      </c>
      <c r="O405" s="10" t="n">
        <v>0</v>
      </c>
      <c r="P405" s="10" t="b">
        <v>0</v>
      </c>
    </row>
    <row r="406">
      <c r="A406" s="10" t="inlineStr">
        <is>
          <t>The Matrix Reloaded</t>
        </is>
      </c>
      <c r="B406" s="10" t="inlineStr">
        <is>
          <t>card_405</t>
        </is>
      </c>
      <c r="C406" s="10" t="inlineStr">
        <is>
          <t>Lana Wachowski and Lilly Wachowski</t>
        </is>
      </c>
      <c r="D406" s="10" t="n">
        <v>2003</v>
      </c>
      <c r="E406" s="10" t="n">
        <v>3.45</v>
      </c>
      <c r="F406" s="10" t="n">
        <v>75</v>
      </c>
      <c r="I406" s="10" t="n">
        <v>741800000</v>
      </c>
      <c r="J406" s="10" t="b">
        <v>0</v>
      </c>
      <c r="K406" s="10" t="n">
        <v>150000000</v>
      </c>
      <c r="L406" s="10" t="b">
        <v>0</v>
      </c>
      <c r="M406" s="10" t="n">
        <v>138</v>
      </c>
      <c r="N406" s="10" t="n">
        <v>0</v>
      </c>
      <c r="O406" s="10" t="n">
        <v>0</v>
      </c>
      <c r="P406" s="10" t="b">
        <v>0</v>
      </c>
    </row>
    <row r="407">
      <c r="A407" s="10" t="inlineStr">
        <is>
          <t>The Matrix Revolutions</t>
        </is>
      </c>
      <c r="B407" s="10" t="inlineStr">
        <is>
          <t>card_406</t>
        </is>
      </c>
      <c r="C407" s="10" t="inlineStr">
        <is>
          <t>Lana Wachowski and Lilly Wachowski</t>
        </is>
      </c>
      <c r="D407" s="10" t="n">
        <v>2003</v>
      </c>
      <c r="E407" s="10" t="n">
        <v>3.19</v>
      </c>
      <c r="F407" s="10" t="n">
        <v>66</v>
      </c>
      <c r="I407" s="10" t="n">
        <v>427300000</v>
      </c>
      <c r="J407" s="10" t="b">
        <v>0</v>
      </c>
      <c r="K407" s="10" t="n">
        <v>150000000</v>
      </c>
      <c r="L407" s="10" t="b">
        <v>0</v>
      </c>
      <c r="M407" s="10" t="n">
        <v>129</v>
      </c>
      <c r="N407" s="10" t="n">
        <v>0</v>
      </c>
      <c r="O407" s="10" t="n">
        <v>0</v>
      </c>
      <c r="P407" s="10" t="b">
        <v>0</v>
      </c>
    </row>
    <row r="408">
      <c r="A408" s="10" t="inlineStr">
        <is>
          <t>The Matrix Resurrections</t>
        </is>
      </c>
      <c r="B408" s="10" t="inlineStr">
        <is>
          <t>card_407</t>
        </is>
      </c>
      <c r="C408" s="10" t="inlineStr">
        <is>
          <t>Lana Wachowski</t>
        </is>
      </c>
      <c r="D408" s="10" t="n">
        <v>2021</v>
      </c>
      <c r="E408" s="10" t="n">
        <v>2.67</v>
      </c>
      <c r="F408" s="10" t="n">
        <v>39</v>
      </c>
      <c r="I408" s="10" t="n">
        <v>160200000</v>
      </c>
      <c r="J408" s="10" t="b">
        <v>0</v>
      </c>
      <c r="K408" s="10" t="n">
        <v>190000000</v>
      </c>
      <c r="L408" s="10" t="b">
        <v>0</v>
      </c>
      <c r="M408" s="10" t="n">
        <v>148</v>
      </c>
      <c r="N408" s="10" t="n">
        <v>0</v>
      </c>
      <c r="O408" s="10" t="n">
        <v>0</v>
      </c>
      <c r="P408" s="10" t="b">
        <v>0</v>
      </c>
    </row>
    <row r="409">
      <c r="A409" s="10" t="inlineStr">
        <is>
          <t>Terminator 3: Rise of the Machines</t>
        </is>
      </c>
      <c r="B409" s="10" t="inlineStr">
        <is>
          <t>card_408</t>
        </is>
      </c>
      <c r="C409" s="10" t="inlineStr">
        <is>
          <t>Jonathan Mostow</t>
        </is>
      </c>
      <c r="D409" s="10" t="n">
        <v>2003</v>
      </c>
      <c r="E409" s="10" t="n">
        <v>2.76</v>
      </c>
      <c r="F409" s="10" t="n">
        <v>63</v>
      </c>
      <c r="I409" s="10" t="n">
        <v>433400000</v>
      </c>
      <c r="J409" s="10" t="b">
        <v>0</v>
      </c>
      <c r="K409" s="10" t="n">
        <v>187300000</v>
      </c>
      <c r="L409" s="10" t="b">
        <v>0</v>
      </c>
      <c r="M409" s="10" t="n">
        <v>109</v>
      </c>
      <c r="N409" s="10" t="n">
        <v>0</v>
      </c>
      <c r="O409" s="10" t="n">
        <v>0</v>
      </c>
      <c r="P409" s="10" t="b">
        <v>0</v>
      </c>
    </row>
    <row r="410">
      <c r="A410" s="10" t="inlineStr">
        <is>
          <t>Terminator Salvation</t>
        </is>
      </c>
      <c r="B410" s="10" t="inlineStr">
        <is>
          <t>card_409</t>
        </is>
      </c>
      <c r="C410" s="10" t="inlineStr">
        <is>
          <t>McG</t>
        </is>
      </c>
      <c r="D410" s="10" t="n">
        <v>2009</v>
      </c>
      <c r="E410" s="10" t="n">
        <v>2.64</v>
      </c>
      <c r="F410" s="10" t="n">
        <v>60</v>
      </c>
      <c r="I410" s="10" t="n">
        <v>371400000</v>
      </c>
      <c r="J410" s="10" t="b">
        <v>0</v>
      </c>
      <c r="K410" s="10" t="n">
        <v>200000000</v>
      </c>
      <c r="L410" s="10" t="b">
        <v>0</v>
      </c>
      <c r="M410" s="10" t="n">
        <v>115</v>
      </c>
      <c r="N410" s="10" t="n">
        <v>0</v>
      </c>
      <c r="O410" s="10" t="n">
        <v>0</v>
      </c>
      <c r="P410" s="10" t="b">
        <v>0</v>
      </c>
    </row>
    <row r="411">
      <c r="A411" s="10" t="inlineStr">
        <is>
          <t>Terminator Genisys</t>
        </is>
      </c>
      <c r="B411" s="10" t="inlineStr">
        <is>
          <t>card_410</t>
        </is>
      </c>
      <c r="C411" s="10" t="inlineStr">
        <is>
          <t>Alan Taylor</t>
        </is>
      </c>
      <c r="D411" s="10" t="n">
        <v>2015</v>
      </c>
      <c r="E411" s="10" t="n">
        <v>2.26</v>
      </c>
      <c r="F411" s="10" t="n">
        <v>59</v>
      </c>
      <c r="I411" s="10" t="n">
        <v>440600000</v>
      </c>
      <c r="J411" s="10" t="b">
        <v>0</v>
      </c>
      <c r="K411" s="10" t="n">
        <v>155000000</v>
      </c>
      <c r="L411" s="10" t="b">
        <v>0</v>
      </c>
      <c r="M411" s="10" t="n">
        <v>126</v>
      </c>
      <c r="N411" s="10" t="n">
        <v>0</v>
      </c>
      <c r="O411" s="10" t="n">
        <v>0</v>
      </c>
      <c r="P411" s="10" t="b">
        <v>0</v>
      </c>
    </row>
    <row r="412">
      <c r="A412" s="10" t="inlineStr">
        <is>
          <t>Terminator: Dark Fate</t>
        </is>
      </c>
      <c r="B412" s="10" t="inlineStr">
        <is>
          <t>card_411</t>
        </is>
      </c>
      <c r="C412" s="10" t="inlineStr">
        <is>
          <t>Tim Miller</t>
        </is>
      </c>
      <c r="D412" s="10" t="n">
        <v>2019</v>
      </c>
      <c r="E412" s="10" t="n">
        <v>2.59</v>
      </c>
      <c r="F412" s="10" t="n">
        <v>40</v>
      </c>
      <c r="I412" s="10" t="n">
        <v>261100000</v>
      </c>
      <c r="J412" s="10" t="b">
        <v>0</v>
      </c>
      <c r="K412" s="10" t="n">
        <v>185000000</v>
      </c>
      <c r="L412" s="10" t="b">
        <v>0</v>
      </c>
      <c r="M412" s="10" t="n">
        <v>128</v>
      </c>
      <c r="N412" s="10" t="n">
        <v>0</v>
      </c>
      <c r="O412" s="10" t="n">
        <v>0</v>
      </c>
      <c r="P412" s="10" t="b">
        <v>0</v>
      </c>
    </row>
    <row r="413">
      <c r="A413" s="10" t="inlineStr">
        <is>
          <t>Back to the Future Part II</t>
        </is>
      </c>
      <c r="B413" s="10" t="inlineStr">
        <is>
          <t>card_412</t>
        </is>
      </c>
      <c r="C413" s="10" t="inlineStr">
        <is>
          <t>Robert Zemeckis</t>
        </is>
      </c>
      <c r="D413" s="10" t="n">
        <v>1989</v>
      </c>
      <c r="E413" s="10" t="n">
        <v>3.91</v>
      </c>
      <c r="F413" s="10" t="n">
        <v>82</v>
      </c>
      <c r="I413" s="10" t="n">
        <v>333000000</v>
      </c>
      <c r="J413" s="10" t="b">
        <v>0</v>
      </c>
      <c r="K413" s="10" t="n">
        <v>40000000</v>
      </c>
      <c r="L413" s="10" t="b">
        <v>0</v>
      </c>
      <c r="M413" s="10" t="n">
        <v>108</v>
      </c>
      <c r="N413" s="10" t="n">
        <v>0</v>
      </c>
      <c r="O413" s="10" t="n">
        <v>1</v>
      </c>
      <c r="P413" s="10" t="b">
        <v>0</v>
      </c>
    </row>
    <row r="414">
      <c r="A414" s="10" t="inlineStr">
        <is>
          <t>Back to the Future Part III</t>
        </is>
      </c>
      <c r="B414" s="10" t="inlineStr">
        <is>
          <t>card_413</t>
        </is>
      </c>
      <c r="C414" s="10" t="inlineStr">
        <is>
          <t>Robert Zemeckis</t>
        </is>
      </c>
      <c r="D414" s="10" t="n">
        <v>1990</v>
      </c>
      <c r="E414" s="10" t="n">
        <v>3.61</v>
      </c>
      <c r="F414" s="10" t="n">
        <v>79</v>
      </c>
      <c r="I414" s="10" t="n">
        <v>245100000</v>
      </c>
      <c r="J414" s="10" t="b">
        <v>0</v>
      </c>
      <c r="K414" s="10" t="n">
        <v>40000000</v>
      </c>
      <c r="L414" s="10" t="b">
        <v>0</v>
      </c>
      <c r="M414" s="10" t="n">
        <v>118</v>
      </c>
      <c r="N414" s="10" t="n">
        <v>0</v>
      </c>
      <c r="O414" s="10" t="n">
        <v>1</v>
      </c>
      <c r="P414" s="10" t="b">
        <v>0</v>
      </c>
    </row>
    <row r="415">
      <c r="A415" s="10" t="inlineStr">
        <is>
          <t>Mad Max</t>
        </is>
      </c>
      <c r="B415" s="10" t="inlineStr">
        <is>
          <t>card_414</t>
        </is>
      </c>
      <c r="C415" s="10" t="inlineStr">
        <is>
          <t>George Miller</t>
        </is>
      </c>
      <c r="D415" s="10" t="n">
        <v>1979</v>
      </c>
      <c r="E415" s="10" t="n">
        <v>3.29</v>
      </c>
      <c r="F415" s="10" t="n">
        <v>69</v>
      </c>
      <c r="I415" s="10" t="n">
        <v>100000000</v>
      </c>
      <c r="J415" s="10" t="b">
        <v>1</v>
      </c>
      <c r="K415" s="10" t="n">
        <v>400000</v>
      </c>
      <c r="L415" s="10" t="b">
        <v>0</v>
      </c>
      <c r="M415" s="10" t="n">
        <v>93</v>
      </c>
      <c r="N415" s="10" t="n">
        <v>0</v>
      </c>
      <c r="O415" s="10" t="n">
        <v>0</v>
      </c>
      <c r="P415" s="10" t="b">
        <v>0</v>
      </c>
    </row>
    <row r="416">
      <c r="A416" s="10" t="inlineStr">
        <is>
          <t>Mad Max 2</t>
        </is>
      </c>
      <c r="B416" s="10" t="inlineStr">
        <is>
          <t>card_415</t>
        </is>
      </c>
      <c r="C416" s="10" t="inlineStr">
        <is>
          <t>George Miller</t>
        </is>
      </c>
      <c r="D416" s="10" t="n">
        <v>1981</v>
      </c>
      <c r="E416" s="10" t="n">
        <v>3.89</v>
      </c>
      <c r="F416" s="10" t="n">
        <v>82</v>
      </c>
      <c r="I416" s="10" t="n">
        <v>23700000</v>
      </c>
      <c r="J416" s="10" t="b">
        <v>0</v>
      </c>
      <c r="K416" s="10" t="n">
        <v>3000000</v>
      </c>
      <c r="L416" s="10" t="b">
        <v>0</v>
      </c>
      <c r="M416" s="10" t="n">
        <v>96</v>
      </c>
      <c r="N416" s="10" t="n">
        <v>0</v>
      </c>
      <c r="O416" s="10" t="n">
        <v>0</v>
      </c>
      <c r="P416" s="10" t="b">
        <v>0</v>
      </c>
    </row>
    <row r="417">
      <c r="A417" s="10" t="inlineStr">
        <is>
          <t>Mad Max Beyond Thunderdome</t>
        </is>
      </c>
      <c r="B417" s="10" t="inlineStr">
        <is>
          <t>card_416</t>
        </is>
      </c>
      <c r="C417" s="10" t="inlineStr">
        <is>
          <t>George Miller and George Ogilvie</t>
        </is>
      </c>
      <c r="D417" s="10" t="n">
        <v>1985</v>
      </c>
      <c r="E417" s="10" t="n">
        <v>2.98</v>
      </c>
      <c r="F417" s="10" t="n">
        <v>62</v>
      </c>
      <c r="I417" s="10" t="n">
        <v>36200000</v>
      </c>
      <c r="J417" s="10" t="b">
        <v>0</v>
      </c>
      <c r="K417" s="10" t="n">
        <v>10000000</v>
      </c>
      <c r="L417" s="10" t="b">
        <v>0</v>
      </c>
      <c r="M417" s="10" t="n">
        <v>107</v>
      </c>
      <c r="N417" s="10" t="n">
        <v>0</v>
      </c>
      <c r="O417" s="10" t="n">
        <v>0</v>
      </c>
      <c r="P417" s="10" t="b">
        <v>0</v>
      </c>
    </row>
    <row r="418">
      <c r="A418" s="10" t="inlineStr">
        <is>
          <t>Furiosa: A Mad Max Saga</t>
        </is>
      </c>
      <c r="B418" s="10" t="inlineStr">
        <is>
          <t>card_417</t>
        </is>
      </c>
      <c r="C418" s="10" t="inlineStr">
        <is>
          <t>George Miller</t>
        </is>
      </c>
      <c r="D418" s="10" t="n">
        <v>2024</v>
      </c>
      <c r="E418" s="10" t="n">
        <v>3.77</v>
      </c>
      <c r="F418" s="10" t="n">
        <v>72</v>
      </c>
      <c r="I418" s="10" t="n">
        <v>174400000</v>
      </c>
      <c r="J418" s="10" t="b">
        <v>0</v>
      </c>
      <c r="K418" s="10" t="n">
        <v>168000000</v>
      </c>
      <c r="L418" s="10" t="b">
        <v>0</v>
      </c>
      <c r="M418" s="10" t="n">
        <v>148</v>
      </c>
      <c r="N418" s="10" t="n">
        <v>0</v>
      </c>
      <c r="O418" s="10" t="n">
        <v>0</v>
      </c>
      <c r="P418" s="10" t="b">
        <v>0</v>
      </c>
    </row>
    <row r="419">
      <c r="A419" s="10" t="inlineStr">
        <is>
          <t>Rocky II</t>
        </is>
      </c>
      <c r="B419" s="10" t="inlineStr">
        <is>
          <t>card_418</t>
        </is>
      </c>
      <c r="C419" s="10" t="inlineStr">
        <is>
          <t>Sylvester Stallone</t>
        </is>
      </c>
      <c r="D419" s="10" t="n">
        <v>1979</v>
      </c>
      <c r="E419" s="10" t="n">
        <v>3.84</v>
      </c>
      <c r="F419" s="10" t="n">
        <v>82</v>
      </c>
      <c r="I419" s="10" t="n">
        <v>200100000</v>
      </c>
      <c r="J419" s="10" t="b">
        <v>0</v>
      </c>
      <c r="K419" s="10" t="n">
        <v>7000000</v>
      </c>
      <c r="L419" s="10" t="b">
        <v>0</v>
      </c>
      <c r="M419" s="10" t="n">
        <v>119</v>
      </c>
      <c r="N419" s="10" t="n">
        <v>0</v>
      </c>
      <c r="O419" s="10" t="n">
        <v>0</v>
      </c>
      <c r="P419" s="10" t="b">
        <v>0</v>
      </c>
    </row>
    <row r="420">
      <c r="A420" s="10" t="inlineStr">
        <is>
          <t>Rocky III</t>
        </is>
      </c>
      <c r="B420" s="10" t="inlineStr">
        <is>
          <t>card_419</t>
        </is>
      </c>
      <c r="C420" s="10" t="inlineStr">
        <is>
          <t>Sylvester Stallone</t>
        </is>
      </c>
      <c r="D420" s="10" t="n">
        <v>1982</v>
      </c>
      <c r="E420" s="10" t="n">
        <v>3.58</v>
      </c>
      <c r="F420" s="10" t="n">
        <v>76</v>
      </c>
      <c r="I420" s="10" t="n">
        <v>270000000</v>
      </c>
      <c r="J420" s="10" t="b">
        <v>0</v>
      </c>
      <c r="K420" s="10" t="n">
        <v>17000000</v>
      </c>
      <c r="L420" s="10" t="b">
        <v>0</v>
      </c>
      <c r="M420" s="10" t="n">
        <v>100</v>
      </c>
      <c r="N420" s="10" t="n">
        <v>0</v>
      </c>
      <c r="O420" s="10" t="n">
        <v>0</v>
      </c>
      <c r="P420" s="10" t="b">
        <v>0</v>
      </c>
    </row>
    <row r="421">
      <c r="A421" s="10" t="inlineStr">
        <is>
          <t>Rocky IV</t>
        </is>
      </c>
      <c r="B421" s="10" t="inlineStr">
        <is>
          <t>card_420</t>
        </is>
      </c>
      <c r="C421" s="10" t="inlineStr">
        <is>
          <t>Sylvester Stallone</t>
        </is>
      </c>
      <c r="D421" s="10" t="n">
        <v>1985</v>
      </c>
      <c r="E421" s="10" t="n">
        <v>3.78</v>
      </c>
      <c r="F421" s="10" t="n">
        <v>73</v>
      </c>
      <c r="I421" s="10" t="n">
        <v>300500000</v>
      </c>
      <c r="J421" s="10" t="b">
        <v>0</v>
      </c>
      <c r="K421" s="10" t="n">
        <v>28000000</v>
      </c>
      <c r="L421" s="10" t="b">
        <v>0</v>
      </c>
      <c r="M421" s="10" t="n">
        <v>91</v>
      </c>
      <c r="N421" s="10" t="n">
        <v>0</v>
      </c>
      <c r="O421" s="10" t="n">
        <v>0</v>
      </c>
      <c r="P421" s="10" t="b">
        <v>0</v>
      </c>
    </row>
    <row r="422">
      <c r="A422" s="10" t="inlineStr">
        <is>
          <t>Rocky V</t>
        </is>
      </c>
      <c r="B422" s="10" t="inlineStr">
        <is>
          <t>card_421</t>
        </is>
      </c>
      <c r="C422" s="10" t="inlineStr">
        <is>
          <t>John G. Avildsen</t>
        </is>
      </c>
      <c r="D422" s="10" t="n">
        <v>1990</v>
      </c>
      <c r="E422" s="10" t="n">
        <v>2.55</v>
      </c>
      <c r="F422" s="10" t="n">
        <v>56</v>
      </c>
      <c r="I422" s="10" t="n">
        <v>119900000</v>
      </c>
      <c r="J422" s="10" t="b">
        <v>0</v>
      </c>
      <c r="K422" s="10" t="n">
        <v>36000000</v>
      </c>
      <c r="L422" s="10" t="b">
        <v>1</v>
      </c>
      <c r="M422" s="10" t="n">
        <v>104</v>
      </c>
      <c r="N422" s="10" t="n">
        <v>0</v>
      </c>
      <c r="O422" s="10" t="n">
        <v>0</v>
      </c>
      <c r="P422" s="10" t="b">
        <v>0</v>
      </c>
    </row>
    <row r="423">
      <c r="A423" s="10" t="inlineStr">
        <is>
          <t>Rocky Balboa</t>
        </is>
      </c>
      <c r="B423" s="10" t="inlineStr">
        <is>
          <t>card_422</t>
        </is>
      </c>
      <c r="C423" s="10" t="inlineStr">
        <is>
          <t>Sylvester Stallone</t>
        </is>
      </c>
      <c r="D423" s="10" t="n">
        <v>2006</v>
      </c>
      <c r="E423" s="10" t="n">
        <v>3.49</v>
      </c>
      <c r="F423" s="10" t="n">
        <v>77</v>
      </c>
      <c r="I423" s="10" t="n">
        <v>156000000</v>
      </c>
      <c r="J423" s="10" t="b">
        <v>0</v>
      </c>
      <c r="K423" s="10" t="n">
        <v>24000000</v>
      </c>
      <c r="L423" s="10" t="b">
        <v>0</v>
      </c>
      <c r="M423" s="10" t="n">
        <v>102</v>
      </c>
      <c r="N423" s="10" t="n">
        <v>0</v>
      </c>
      <c r="O423" s="10" t="n">
        <v>0</v>
      </c>
      <c r="P423" s="10" t="b">
        <v>0</v>
      </c>
    </row>
    <row r="424">
      <c r="A424" s="10" t="inlineStr">
        <is>
          <t>Creed</t>
        </is>
      </c>
      <c r="B424" s="10" t="inlineStr">
        <is>
          <t>card_423</t>
        </is>
      </c>
      <c r="C424" s="10" t="inlineStr">
        <is>
          <t>Ryan Coogler</t>
        </is>
      </c>
      <c r="D424" s="10" t="n">
        <v>2015</v>
      </c>
      <c r="E424" s="10" t="n">
        <v>3.83</v>
      </c>
      <c r="F424" s="10" t="n">
        <v>80</v>
      </c>
      <c r="I424" s="10" t="n">
        <v>174100000</v>
      </c>
      <c r="J424" s="10" t="b">
        <v>0</v>
      </c>
      <c r="K424" s="10" t="n">
        <v>37000000</v>
      </c>
      <c r="L424" s="10" t="b">
        <v>0</v>
      </c>
      <c r="M424" s="10" t="n">
        <v>133</v>
      </c>
      <c r="N424" s="10" t="n">
        <v>0</v>
      </c>
      <c r="O424" s="10" t="n">
        <v>0</v>
      </c>
      <c r="P424" s="10" t="b">
        <v>0</v>
      </c>
    </row>
    <row r="425">
      <c r="A425" s="10" t="inlineStr">
        <is>
          <t>Creed II</t>
        </is>
      </c>
      <c r="B425" s="10" t="inlineStr">
        <is>
          <t>card_424</t>
        </is>
      </c>
      <c r="C425" s="10" t="inlineStr">
        <is>
          <t>Steven Caple Jr.</t>
        </is>
      </c>
      <c r="D425" s="10" t="n">
        <v>2018</v>
      </c>
      <c r="E425" s="10" t="n">
        <v>3.59</v>
      </c>
      <c r="F425" s="10" t="n">
        <v>71</v>
      </c>
      <c r="I425" s="10" t="n">
        <v>214200000</v>
      </c>
      <c r="J425" s="10" t="b">
        <v>0</v>
      </c>
      <c r="K425" s="10" t="n">
        <v>50000000</v>
      </c>
      <c r="L425" s="10" t="b">
        <v>0</v>
      </c>
      <c r="M425" s="10" t="n">
        <v>130</v>
      </c>
      <c r="N425" s="10" t="n">
        <v>0</v>
      </c>
      <c r="O425" s="10" t="n">
        <v>0</v>
      </c>
      <c r="P425" s="10" t="b">
        <v>0</v>
      </c>
    </row>
    <row r="426">
      <c r="A426" s="10" t="inlineStr">
        <is>
          <t>Creed III</t>
        </is>
      </c>
      <c r="B426" s="10" t="inlineStr">
        <is>
          <t>card_425</t>
        </is>
      </c>
      <c r="C426" s="10" t="inlineStr">
        <is>
          <t>Michael B. Jordan</t>
        </is>
      </c>
      <c r="D426" s="10" t="n">
        <v>2023</v>
      </c>
      <c r="E426" s="10" t="n">
        <v>3.44</v>
      </c>
      <c r="F426" s="10" t="n">
        <v>68</v>
      </c>
      <c r="I426" s="10" t="n">
        <v>276100000</v>
      </c>
      <c r="J426" s="10" t="b">
        <v>0</v>
      </c>
      <c r="K426" s="10" t="n">
        <v>75000000</v>
      </c>
      <c r="L426" s="10" t="b">
        <v>0</v>
      </c>
      <c r="M426" s="10" t="n">
        <v>116</v>
      </c>
      <c r="N426" s="10" t="n">
        <v>0</v>
      </c>
      <c r="O426" s="10" t="n">
        <v>0</v>
      </c>
      <c r="P426" s="10" t="b">
        <v>0</v>
      </c>
    </row>
    <row r="427">
      <c r="A427" s="10" t="inlineStr">
        <is>
          <t>John Wick</t>
        </is>
      </c>
      <c r="B427" s="10" t="inlineStr">
        <is>
          <t>card_426</t>
        </is>
      </c>
      <c r="C427" s="10" t="inlineStr">
        <is>
          <t>Chad Stahelski</t>
        </is>
      </c>
      <c r="D427" s="10" t="n">
        <v>2014</v>
      </c>
      <c r="E427" s="10" t="n">
        <v>3.86</v>
      </c>
      <c r="F427" s="10" t="n">
        <v>78</v>
      </c>
      <c r="I427" s="10" t="n">
        <v>86100000</v>
      </c>
      <c r="J427" s="10" t="b">
        <v>0</v>
      </c>
      <c r="K427" s="10" t="n">
        <v>20000000</v>
      </c>
      <c r="L427" s="10" t="b">
        <v>0</v>
      </c>
      <c r="M427" s="10" t="n">
        <v>101</v>
      </c>
      <c r="N427" s="10" t="n">
        <v>0</v>
      </c>
      <c r="O427" s="10" t="n">
        <v>0</v>
      </c>
      <c r="P427" s="10" t="b">
        <v>0</v>
      </c>
    </row>
    <row r="428">
      <c r="A428" s="10" t="inlineStr">
        <is>
          <t>John Wick: Chapter 2</t>
        </is>
      </c>
      <c r="B428" s="10" t="inlineStr">
        <is>
          <t>card_427</t>
        </is>
      </c>
      <c r="C428" s="10" t="inlineStr">
        <is>
          <t>Chad Stahelski</t>
        </is>
      </c>
      <c r="D428" s="10" t="n">
        <v>2017</v>
      </c>
      <c r="E428" s="10" t="n">
        <v>3.72</v>
      </c>
      <c r="F428" s="10" t="n">
        <v>80</v>
      </c>
      <c r="I428" s="10" t="n">
        <v>174300000</v>
      </c>
      <c r="J428" s="10" t="b">
        <v>0</v>
      </c>
      <c r="K428" s="10" t="n">
        <v>40000000</v>
      </c>
      <c r="L428" s="10" t="b">
        <v>0</v>
      </c>
      <c r="M428" s="10" t="n">
        <v>122</v>
      </c>
      <c r="N428" s="10" t="n">
        <v>0</v>
      </c>
      <c r="O428" s="10" t="n">
        <v>0</v>
      </c>
      <c r="P428" s="10" t="b">
        <v>0</v>
      </c>
    </row>
    <row r="429">
      <c r="A429" s="10" t="inlineStr">
        <is>
          <t>John Wick: Chapter 3 - Parabellum</t>
        </is>
      </c>
      <c r="B429" s="10" t="inlineStr">
        <is>
          <t>card_428</t>
        </is>
      </c>
      <c r="C429" s="10" t="inlineStr">
        <is>
          <t>Chad Stahelski</t>
        </is>
      </c>
      <c r="D429" s="10" t="n">
        <v>2019</v>
      </c>
      <c r="E429" s="10" t="n">
        <v>3.71</v>
      </c>
      <c r="F429" s="10" t="n">
        <v>84</v>
      </c>
      <c r="I429" s="10" t="n">
        <v>328300000</v>
      </c>
      <c r="J429" s="10" t="b">
        <v>0</v>
      </c>
      <c r="K429" s="10" t="n">
        <v>75000000</v>
      </c>
      <c r="L429" s="10" t="b">
        <v>0</v>
      </c>
      <c r="M429" s="10" t="n">
        <v>131</v>
      </c>
      <c r="N429" s="10" t="n">
        <v>0</v>
      </c>
      <c r="O429" s="10" t="n">
        <v>0</v>
      </c>
      <c r="P429" s="10" t="b">
        <v>0</v>
      </c>
    </row>
    <row r="430">
      <c r="A430" s="10" t="inlineStr">
        <is>
          <t>John Wick: Chapter 4</t>
        </is>
      </c>
      <c r="B430" s="10" t="inlineStr">
        <is>
          <t>card_429</t>
        </is>
      </c>
      <c r="C430" s="10" t="inlineStr">
        <is>
          <t>Chad Stahelski</t>
        </is>
      </c>
      <c r="D430" s="10" t="n">
        <v>2023</v>
      </c>
      <c r="E430" s="10" t="n">
        <v>3.9</v>
      </c>
      <c r="F430" s="10" t="n">
        <v>80</v>
      </c>
      <c r="I430" s="10" t="n">
        <v>447300000</v>
      </c>
      <c r="J430" s="10" t="b">
        <v>0</v>
      </c>
      <c r="K430" s="10" t="n">
        <v>100000000</v>
      </c>
      <c r="L430" s="10" t="b">
        <v>0</v>
      </c>
      <c r="M430" s="10" t="n">
        <v>169</v>
      </c>
      <c r="N430" s="10" t="n">
        <v>0</v>
      </c>
      <c r="O430" s="10" t="n">
        <v>0</v>
      </c>
      <c r="P430" s="10" t="b">
        <v>0</v>
      </c>
    </row>
    <row r="431">
      <c r="A431" s="10" t="inlineStr">
        <is>
          <t>Lethal Weapon</t>
        </is>
      </c>
      <c r="B431" s="10" t="inlineStr">
        <is>
          <t>card_430</t>
        </is>
      </c>
      <c r="C431" s="10" t="inlineStr">
        <is>
          <t>Richard Donner</t>
        </is>
      </c>
      <c r="D431" s="10" t="n">
        <v>1987</v>
      </c>
      <c r="E431" s="10" t="n">
        <v>3.75</v>
      </c>
      <c r="F431" s="10" t="n">
        <v>77</v>
      </c>
      <c r="I431" s="10" t="n">
        <v>120100000</v>
      </c>
      <c r="J431" s="10" t="b">
        <v>0</v>
      </c>
      <c r="K431" s="10" t="n">
        <v>15000000</v>
      </c>
      <c r="L431" s="10" t="b">
        <v>0</v>
      </c>
      <c r="M431" s="10" t="n">
        <v>109</v>
      </c>
      <c r="N431" s="10" t="n">
        <v>0</v>
      </c>
      <c r="O431" s="10" t="n">
        <v>0</v>
      </c>
      <c r="P431" s="10" t="b">
        <v>0</v>
      </c>
    </row>
    <row r="432">
      <c r="A432" s="10" t="inlineStr">
        <is>
          <t>Lethal Weapon 2</t>
        </is>
      </c>
      <c r="B432" s="10" t="inlineStr">
        <is>
          <t>card_431</t>
        </is>
      </c>
      <c r="C432" s="10" t="inlineStr">
        <is>
          <t>Richard Donner</t>
        </is>
      </c>
      <c r="D432" s="10" t="n">
        <v>1989</v>
      </c>
      <c r="E432" s="10" t="n">
        <v>3.64</v>
      </c>
      <c r="F432" s="10" t="n">
        <v>76</v>
      </c>
      <c r="I432" s="10" t="n">
        <v>227300000</v>
      </c>
      <c r="J432" s="10" t="b">
        <v>0</v>
      </c>
      <c r="K432" s="10" t="n">
        <v>30000000</v>
      </c>
      <c r="L432" s="10" t="b">
        <v>0</v>
      </c>
      <c r="M432" s="10" t="n">
        <v>114</v>
      </c>
      <c r="N432" s="10" t="n">
        <v>0</v>
      </c>
      <c r="O432" s="10" t="n">
        <v>0</v>
      </c>
      <c r="P432" s="10" t="b">
        <v>0</v>
      </c>
    </row>
    <row r="433">
      <c r="A433" s="10" t="inlineStr">
        <is>
          <t>Lethal Weapon 3</t>
        </is>
      </c>
      <c r="B433" s="10" t="inlineStr">
        <is>
          <t>card_432</t>
        </is>
      </c>
      <c r="C433" s="10" t="inlineStr">
        <is>
          <t>Richard Donner</t>
        </is>
      </c>
      <c r="D433" s="10" t="n">
        <v>1992</v>
      </c>
      <c r="E433" s="10" t="n">
        <v>3.26</v>
      </c>
      <c r="F433" s="10" t="n">
        <v>68</v>
      </c>
      <c r="I433" s="10" t="n">
        <v>321700000</v>
      </c>
      <c r="J433" s="10" t="b">
        <v>0</v>
      </c>
      <c r="K433" s="10" t="n">
        <v>35000000</v>
      </c>
      <c r="L433" s="10" t="b">
        <v>0</v>
      </c>
      <c r="M433" s="10" t="n">
        <v>118</v>
      </c>
      <c r="N433" s="10" t="n">
        <v>0</v>
      </c>
      <c r="O433" s="10" t="n">
        <v>0</v>
      </c>
      <c r="P433" s="10" t="b">
        <v>0</v>
      </c>
    </row>
    <row r="434">
      <c r="A434" s="10" t="inlineStr">
        <is>
          <t>Lethal Weapon 4</t>
        </is>
      </c>
      <c r="B434" s="10" t="inlineStr">
        <is>
          <t>card_433</t>
        </is>
      </c>
      <c r="C434" s="10" t="inlineStr">
        <is>
          <t>Richard Donner</t>
        </is>
      </c>
      <c r="D434" s="10" t="n">
        <v>1998</v>
      </c>
      <c r="E434" s="10" t="n">
        <v>3.16</v>
      </c>
      <c r="F434" s="10" t="n">
        <v>63</v>
      </c>
      <c r="I434" s="10" t="n">
        <v>285400000</v>
      </c>
      <c r="J434" s="10" t="b">
        <v>0</v>
      </c>
      <c r="K434" s="10" t="n">
        <v>125000000</v>
      </c>
      <c r="L434" s="10" t="b">
        <v>1</v>
      </c>
      <c r="M434" s="10" t="n">
        <v>127</v>
      </c>
      <c r="N434" s="10" t="n">
        <v>0</v>
      </c>
      <c r="O434" s="10" t="n">
        <v>0</v>
      </c>
      <c r="P434" s="10" t="b">
        <v>0</v>
      </c>
    </row>
    <row r="435">
      <c r="A435" s="10" t="inlineStr">
        <is>
          <t>The Bourne Identity</t>
        </is>
      </c>
      <c r="B435" s="10" t="inlineStr">
        <is>
          <t>card_434</t>
        </is>
      </c>
      <c r="C435" s="10" t="inlineStr">
        <is>
          <t>Doug Liman</t>
        </is>
      </c>
      <c r="D435" s="10" t="n">
        <v>2002</v>
      </c>
      <c r="E435" s="10" t="n">
        <v>3.27</v>
      </c>
      <c r="F435" s="10" t="n">
        <v>80</v>
      </c>
      <c r="I435" s="10" t="n">
        <v>214000000</v>
      </c>
      <c r="J435" s="10" t="b">
        <v>0</v>
      </c>
      <c r="K435" s="10" t="n">
        <v>60000000</v>
      </c>
      <c r="L435" s="10" t="b">
        <v>0</v>
      </c>
      <c r="M435" s="10" t="n">
        <v>119</v>
      </c>
      <c r="N435" s="10" t="n">
        <v>0</v>
      </c>
      <c r="O435" s="10" t="n">
        <v>0</v>
      </c>
      <c r="P435" s="10" t="b">
        <v>0</v>
      </c>
    </row>
    <row r="436">
      <c r="A436" s="10" t="inlineStr">
        <is>
          <t>The Bourne Supremacy</t>
        </is>
      </c>
      <c r="B436" s="10" t="inlineStr">
        <is>
          <t>card_435</t>
        </is>
      </c>
      <c r="C436" s="10" t="inlineStr">
        <is>
          <t>Paul Greengrass</t>
        </is>
      </c>
      <c r="D436" s="10" t="n">
        <v>2004</v>
      </c>
      <c r="E436" s="10" t="n">
        <v>3.63</v>
      </c>
      <c r="F436" s="10" t="n">
        <v>79</v>
      </c>
      <c r="I436" s="10" t="n">
        <v>311000000</v>
      </c>
      <c r="J436" s="10" t="b">
        <v>0</v>
      </c>
      <c r="K436" s="10" t="n">
        <v>80000000</v>
      </c>
      <c r="L436" s="10" t="b">
        <v>0</v>
      </c>
      <c r="M436" s="10" t="n">
        <v>108</v>
      </c>
      <c r="N436" s="10" t="n">
        <v>0</v>
      </c>
      <c r="O436" s="10" t="n">
        <v>0</v>
      </c>
      <c r="P436" s="10" t="b">
        <v>0</v>
      </c>
    </row>
    <row r="437">
      <c r="A437" s="10" t="inlineStr">
        <is>
          <t>The Bourne Ultimatum</t>
        </is>
      </c>
      <c r="B437" s="10" t="inlineStr">
        <is>
          <t>card_436</t>
        </is>
      </c>
      <c r="C437" s="10" t="inlineStr">
        <is>
          <t>Paul Greengrass</t>
        </is>
      </c>
      <c r="D437" s="10" t="n">
        <v>2007</v>
      </c>
      <c r="E437" s="10" t="n">
        <v>3.74</v>
      </c>
      <c r="F437" s="10" t="n">
        <v>83</v>
      </c>
      <c r="I437" s="10" t="n">
        <v>444000000</v>
      </c>
      <c r="J437" s="10" t="b">
        <v>0</v>
      </c>
      <c r="K437" s="10" t="n">
        <v>120000000</v>
      </c>
      <c r="L437" s="10" t="b">
        <v>0</v>
      </c>
      <c r="M437" s="10" t="n">
        <v>115</v>
      </c>
      <c r="N437" s="10" t="n">
        <v>3</v>
      </c>
      <c r="O437" s="10" t="n">
        <v>0</v>
      </c>
      <c r="P437" s="10" t="b">
        <v>0</v>
      </c>
    </row>
    <row r="438">
      <c r="A438" s="10" t="inlineStr">
        <is>
          <t>The Bourne Legacy</t>
        </is>
      </c>
      <c r="B438" s="10" t="inlineStr">
        <is>
          <t>card_437</t>
        </is>
      </c>
      <c r="C438" s="10" t="inlineStr">
        <is>
          <t>Tony Gilroy</t>
        </is>
      </c>
      <c r="D438" s="10" t="n">
        <v>2012</v>
      </c>
      <c r="E438" s="10" t="n">
        <v>2.85</v>
      </c>
      <c r="F438" s="10" t="n">
        <v>62</v>
      </c>
      <c r="I438" s="10" t="n">
        <v>276100000</v>
      </c>
      <c r="J438" s="10" t="b">
        <v>0</v>
      </c>
      <c r="K438" s="10" t="n">
        <v>125000000</v>
      </c>
      <c r="L438" s="10" t="b">
        <v>0</v>
      </c>
      <c r="M438" s="10" t="n">
        <v>135</v>
      </c>
      <c r="N438" s="10" t="n">
        <v>0</v>
      </c>
      <c r="O438" s="10" t="n">
        <v>0</v>
      </c>
      <c r="P438" s="10" t="b">
        <v>0</v>
      </c>
    </row>
    <row r="439">
      <c r="A439" s="10" t="inlineStr">
        <is>
          <t>Jason Bourne</t>
        </is>
      </c>
      <c r="B439" s="10" t="inlineStr">
        <is>
          <t>card_438</t>
        </is>
      </c>
      <c r="C439" s="10" t="inlineStr">
        <is>
          <t>Paul Greengrass</t>
        </is>
      </c>
      <c r="D439" s="10" t="n">
        <v>2016</v>
      </c>
      <c r="E439" s="10" t="n">
        <v>3</v>
      </c>
      <c r="F439" s="10" t="n">
        <v>64</v>
      </c>
      <c r="I439" s="10" t="n">
        <v>416200000</v>
      </c>
      <c r="J439" s="10" t="b">
        <v>0</v>
      </c>
      <c r="K439" s="10" t="n">
        <v>120000000</v>
      </c>
      <c r="L439" s="10" t="b">
        <v>0</v>
      </c>
      <c r="M439" s="10" t="n">
        <v>123</v>
      </c>
      <c r="N439" s="10" t="n">
        <v>0</v>
      </c>
      <c r="O439" s="10" t="n">
        <v>0</v>
      </c>
      <c r="P439" s="10" t="b">
        <v>0</v>
      </c>
    </row>
    <row r="440">
      <c r="A440" s="10" t="inlineStr">
        <is>
          <t>Pirates of the Caribbean: The Curse of the Black Pearl</t>
        </is>
      </c>
      <c r="B440" s="10" t="inlineStr">
        <is>
          <t>card_439</t>
        </is>
      </c>
      <c r="C440" s="10" t="inlineStr">
        <is>
          <t>Gore Verbinski</t>
        </is>
      </c>
      <c r="D440" s="10" t="n">
        <v>2003</v>
      </c>
      <c r="E440" s="10" t="n">
        <v>4.02</v>
      </c>
      <c r="F440" s="10" t="n">
        <v>84</v>
      </c>
      <c r="I440" s="10" t="n">
        <v>654300000</v>
      </c>
      <c r="J440" s="10" t="b">
        <v>0</v>
      </c>
      <c r="K440" s="10" t="n">
        <v>140000000</v>
      </c>
      <c r="L440" s="10" t="b">
        <v>0</v>
      </c>
      <c r="M440" s="10" t="n">
        <v>143</v>
      </c>
      <c r="N440" s="10" t="n">
        <v>0</v>
      </c>
      <c r="O440" s="10" t="n">
        <v>0</v>
      </c>
      <c r="P440" s="10" t="b">
        <v>0</v>
      </c>
    </row>
    <row r="441">
      <c r="A441" s="10" t="inlineStr">
        <is>
          <t>Pirates of the Caribbean: Dead Man's Chest</t>
        </is>
      </c>
      <c r="B441" s="10" t="inlineStr">
        <is>
          <t>card_440</t>
        </is>
      </c>
      <c r="C441" s="10" t="inlineStr">
        <is>
          <t>Gore Verbinski</t>
        </is>
      </c>
      <c r="D441" s="10" t="n">
        <v>2006</v>
      </c>
      <c r="E441" s="10" t="n">
        <v>3.79</v>
      </c>
      <c r="F441" s="10" t="n">
        <v>77</v>
      </c>
      <c r="I441" s="10" t="n">
        <v>1066000000</v>
      </c>
      <c r="J441" s="10" t="b">
        <v>0</v>
      </c>
      <c r="K441" s="10" t="n">
        <v>225000000</v>
      </c>
      <c r="L441" s="10" t="b">
        <v>0</v>
      </c>
      <c r="M441" s="10" t="n">
        <v>150</v>
      </c>
      <c r="N441" s="10" t="n">
        <v>1</v>
      </c>
      <c r="O441" s="10" t="n">
        <v>0</v>
      </c>
      <c r="P441" s="10" t="b">
        <v>0</v>
      </c>
    </row>
    <row r="442">
      <c r="A442" s="10" t="inlineStr">
        <is>
          <t>Pirates of the Caribbean: At World's End</t>
        </is>
      </c>
      <c r="B442" s="10" t="inlineStr">
        <is>
          <t>card_441</t>
        </is>
      </c>
      <c r="C442" s="10" t="inlineStr">
        <is>
          <t>Gore Verbinski</t>
        </is>
      </c>
      <c r="D442" s="10" t="n">
        <v>2007</v>
      </c>
      <c r="E442" s="10" t="n">
        <v>3.64</v>
      </c>
      <c r="F442" s="10" t="n">
        <v>73</v>
      </c>
      <c r="I442" s="10" t="n">
        <v>963400000</v>
      </c>
      <c r="J442" s="10" t="b">
        <v>0</v>
      </c>
      <c r="K442" s="10" t="n">
        <v>300000000</v>
      </c>
      <c r="L442" s="10" t="b">
        <v>0</v>
      </c>
      <c r="M442" s="10" t="n">
        <v>168</v>
      </c>
      <c r="N442" s="10" t="n">
        <v>0</v>
      </c>
      <c r="O442" s="10" t="n">
        <v>0</v>
      </c>
      <c r="P442" s="10" t="b">
        <v>0</v>
      </c>
    </row>
    <row r="443">
      <c r="A443" s="10" t="inlineStr">
        <is>
          <t>Pirates of the Caribbean: On Stranger Tides</t>
        </is>
      </c>
      <c r="B443" s="10" t="inlineStr">
        <is>
          <t>card_442</t>
        </is>
      </c>
      <c r="C443" s="10" t="inlineStr">
        <is>
          <t>Rob Marshall</t>
        </is>
      </c>
      <c r="D443" s="10" t="n">
        <v>2011</v>
      </c>
      <c r="E443" s="10" t="n">
        <v>3</v>
      </c>
      <c r="F443" s="10" t="n">
        <v>63</v>
      </c>
      <c r="I443" s="10" t="n">
        <v>1046000000</v>
      </c>
      <c r="J443" s="10" t="b">
        <v>0</v>
      </c>
      <c r="K443" s="10" t="n">
        <v>378500000</v>
      </c>
      <c r="L443" s="10" t="b">
        <v>0</v>
      </c>
      <c r="M443" s="10" t="n">
        <v>136</v>
      </c>
      <c r="N443" s="10" t="n">
        <v>0</v>
      </c>
      <c r="O443" s="10" t="n">
        <v>0</v>
      </c>
      <c r="P443" s="10" t="b">
        <v>0</v>
      </c>
    </row>
    <row r="444">
      <c r="A444" s="10" t="inlineStr">
        <is>
          <t>Pirates of the Caribbean: Dead Men Tell No Tales</t>
        </is>
      </c>
      <c r="B444" s="10" t="inlineStr">
        <is>
          <t>card_443</t>
        </is>
      </c>
      <c r="C444" s="10" t="inlineStr">
        <is>
          <t>Joachim Ronning and Espen Sandberg</t>
        </is>
      </c>
      <c r="D444" s="10" t="n">
        <v>2017</v>
      </c>
      <c r="E444" s="10" t="n">
        <v>2.81</v>
      </c>
      <c r="F444" s="10" t="n">
        <v>62</v>
      </c>
      <c r="I444" s="10" t="n">
        <v>795900000</v>
      </c>
      <c r="J444" s="10" t="b">
        <v>0</v>
      </c>
      <c r="K444" s="10" t="n">
        <v>230000000</v>
      </c>
      <c r="L444" s="10" t="b">
        <v>0</v>
      </c>
      <c r="M444" s="10" t="n">
        <v>129</v>
      </c>
      <c r="N444" s="10" t="n">
        <v>0</v>
      </c>
      <c r="O444" s="10" t="n">
        <v>0</v>
      </c>
      <c r="P444" s="10" t="b">
        <v>0</v>
      </c>
    </row>
    <row r="445">
      <c r="A445" s="10" t="inlineStr">
        <is>
          <t>Mission: Impossible</t>
        </is>
      </c>
      <c r="B445" s="10" t="inlineStr">
        <is>
          <t>card_444</t>
        </is>
      </c>
      <c r="C445" s="10" t="inlineStr">
        <is>
          <t>Brian De Palma</t>
        </is>
      </c>
      <c r="D445" s="10" t="n">
        <v>1996</v>
      </c>
      <c r="E445" s="10" t="n">
        <v>3.64</v>
      </c>
      <c r="F445" s="10" t="n">
        <v>73</v>
      </c>
      <c r="I445" s="10" t="n">
        <v>457700000</v>
      </c>
      <c r="J445" s="10" t="b">
        <v>0</v>
      </c>
      <c r="K445" s="10" t="n">
        <v>80000000</v>
      </c>
      <c r="L445" s="10" t="b">
        <v>0</v>
      </c>
      <c r="M445" s="10" t="n">
        <v>110</v>
      </c>
      <c r="N445" s="10" t="n">
        <v>0</v>
      </c>
      <c r="O445" s="10" t="n">
        <v>0</v>
      </c>
      <c r="P445" s="10" t="b">
        <v>0</v>
      </c>
    </row>
    <row r="446">
      <c r="A446" s="10" t="inlineStr">
        <is>
          <t>Mission: Impossible 2</t>
        </is>
      </c>
      <c r="B446" s="10" t="inlineStr">
        <is>
          <t>card_445</t>
        </is>
      </c>
      <c r="C446" s="10" t="inlineStr">
        <is>
          <t>John Woo</t>
        </is>
      </c>
      <c r="D446" s="10" t="n">
        <v>2000</v>
      </c>
      <c r="E446" s="10" t="n">
        <v>2.7</v>
      </c>
      <c r="F446" s="10" t="n">
        <v>58</v>
      </c>
      <c r="I446" s="10" t="n">
        <v>546400000</v>
      </c>
      <c r="J446" s="10" t="b">
        <v>0</v>
      </c>
      <c r="K446" s="10" t="n">
        <v>125000000</v>
      </c>
      <c r="L446" s="10" t="b">
        <v>0</v>
      </c>
      <c r="M446" s="10" t="n">
        <v>124</v>
      </c>
      <c r="N446" s="10" t="n">
        <v>0</v>
      </c>
      <c r="O446" s="10" t="n">
        <v>0</v>
      </c>
      <c r="P446" s="10" t="b">
        <v>0</v>
      </c>
    </row>
    <row r="447">
      <c r="A447" s="10" t="inlineStr">
        <is>
          <t>Mission: Impossible III</t>
        </is>
      </c>
      <c r="B447" s="10" t="inlineStr">
        <is>
          <t>card_446</t>
        </is>
      </c>
      <c r="C447" s="10" t="inlineStr">
        <is>
          <t>J.J. Abrams</t>
        </is>
      </c>
      <c r="D447" s="10" t="n">
        <v>2006</v>
      </c>
      <c r="E447" s="10" t="n">
        <v>3.42</v>
      </c>
      <c r="F447" s="10" t="n">
        <v>72</v>
      </c>
      <c r="I447" s="10" t="n">
        <v>398500000</v>
      </c>
      <c r="J447" s="10" t="b">
        <v>0</v>
      </c>
      <c r="K447" s="10" t="n">
        <v>150000000</v>
      </c>
      <c r="L447" s="10" t="b">
        <v>0</v>
      </c>
      <c r="M447" s="10" t="n">
        <v>126</v>
      </c>
      <c r="N447" s="10" t="n">
        <v>0</v>
      </c>
      <c r="O447" s="10" t="n">
        <v>0</v>
      </c>
      <c r="P447" s="10" t="b">
        <v>0</v>
      </c>
    </row>
    <row r="448">
      <c r="A448" s="10" t="inlineStr">
        <is>
          <t>Mission: Impossible - Ghost Protocol</t>
        </is>
      </c>
      <c r="B448" s="10" t="inlineStr">
        <is>
          <t>card_447</t>
        </is>
      </c>
      <c r="C448" s="10" t="inlineStr">
        <is>
          <t>Brad Bird</t>
        </is>
      </c>
      <c r="D448" s="10" t="n">
        <v>2011</v>
      </c>
      <c r="E448" s="10" t="n">
        <v>3.76</v>
      </c>
      <c r="F448" s="10" t="n">
        <v>79</v>
      </c>
      <c r="I448" s="10" t="n">
        <v>694700000</v>
      </c>
      <c r="J448" s="10" t="b">
        <v>0</v>
      </c>
      <c r="K448" s="10" t="n">
        <v>145000000</v>
      </c>
      <c r="L448" s="10" t="b">
        <v>0</v>
      </c>
      <c r="M448" s="10" t="n">
        <v>133</v>
      </c>
      <c r="N448" s="10" t="n">
        <v>0</v>
      </c>
      <c r="O448" s="10" t="n">
        <v>0</v>
      </c>
      <c r="P448" s="10" t="b">
        <v>0</v>
      </c>
    </row>
    <row r="449">
      <c r="A449" s="10" t="inlineStr">
        <is>
          <t>Mission: Impossible - Rogue Nation</t>
        </is>
      </c>
      <c r="B449" s="10" t="inlineStr">
        <is>
          <t>card_448</t>
        </is>
      </c>
      <c r="C449" s="10" t="inlineStr">
        <is>
          <t>Christopher McQuarrie</t>
        </is>
      </c>
      <c r="D449" s="10" t="n">
        <v>2015</v>
      </c>
      <c r="E449" s="10" t="n">
        <v>3.77</v>
      </c>
      <c r="F449" s="10" t="n">
        <v>78</v>
      </c>
      <c r="I449" s="10" t="n">
        <v>710900000</v>
      </c>
      <c r="J449" s="10" t="b">
        <v>0</v>
      </c>
      <c r="K449" s="10" t="n">
        <v>150000000</v>
      </c>
      <c r="L449" s="10" t="b">
        <v>0</v>
      </c>
      <c r="M449" s="10" t="n">
        <v>131</v>
      </c>
      <c r="N449" s="10" t="n">
        <v>0</v>
      </c>
      <c r="O449" s="10" t="n">
        <v>0</v>
      </c>
      <c r="P449" s="10" t="b">
        <v>0</v>
      </c>
    </row>
    <row r="450">
      <c r="A450" s="10" t="inlineStr">
        <is>
          <t>Mission: Impossible - Fallout</t>
        </is>
      </c>
      <c r="B450" s="10" t="inlineStr">
        <is>
          <t>card_449</t>
        </is>
      </c>
      <c r="C450" s="10" t="inlineStr">
        <is>
          <t>Christopher McQuarrie</t>
        </is>
      </c>
      <c r="D450" s="10" t="n">
        <v>2018</v>
      </c>
      <c r="E450" s="10" t="n">
        <v>4.01</v>
      </c>
      <c r="F450" s="10" t="n">
        <v>83</v>
      </c>
      <c r="I450" s="10" t="n">
        <v>791100000</v>
      </c>
      <c r="J450" s="10" t="b">
        <v>0</v>
      </c>
      <c r="K450" s="10" t="n">
        <v>178000000</v>
      </c>
      <c r="L450" s="10" t="b">
        <v>0</v>
      </c>
      <c r="M450" s="10" t="n">
        <v>147</v>
      </c>
      <c r="N450" s="10" t="n">
        <v>0</v>
      </c>
      <c r="O450" s="10" t="n">
        <v>0</v>
      </c>
      <c r="P450" s="10" t="b">
        <v>0</v>
      </c>
    </row>
    <row r="451">
      <c r="A451" s="10" t="inlineStr">
        <is>
          <t>Mission: Impossible - Dead Reckoning Part One</t>
        </is>
      </c>
      <c r="B451" s="10" t="inlineStr">
        <is>
          <t>card_450</t>
        </is>
      </c>
      <c r="C451" s="10" t="inlineStr">
        <is>
          <t>Christopher McQuarrie</t>
        </is>
      </c>
      <c r="D451" s="10" t="n">
        <v>2023</v>
      </c>
      <c r="E451" s="10" t="n">
        <v>3.7</v>
      </c>
      <c r="F451" s="10" t="n">
        <v>78</v>
      </c>
      <c r="I451" s="10" t="n">
        <v>571100000</v>
      </c>
      <c r="J451" s="10" t="b">
        <v>0</v>
      </c>
      <c r="K451" s="10" t="n">
        <v>291000000</v>
      </c>
      <c r="L451" s="10" t="b">
        <v>0</v>
      </c>
      <c r="M451" s="10" t="n">
        <v>163</v>
      </c>
      <c r="N451" s="10" t="n">
        <v>0</v>
      </c>
      <c r="O451" s="10" t="n">
        <v>0</v>
      </c>
      <c r="P451" s="10" t="b">
        <v>0</v>
      </c>
    </row>
    <row r="452">
      <c r="A452" s="10" t="inlineStr">
        <is>
          <t>Mission: Impossible - The Final Reckoning</t>
        </is>
      </c>
      <c r="B452" s="10" t="inlineStr">
        <is>
          <t>card_451</t>
        </is>
      </c>
      <c r="C452" s="10" t="inlineStr">
        <is>
          <t>Christopher McQuarrie</t>
        </is>
      </c>
      <c r="D452" s="10" t="n">
        <v>2025</v>
      </c>
      <c r="E452" s="10" t="n">
        <v>3.47</v>
      </c>
      <c r="F452" s="10" t="n">
        <v>68</v>
      </c>
      <c r="I452" s="10" t="n">
        <v>598800000</v>
      </c>
      <c r="J452" s="10" t="b">
        <v>0</v>
      </c>
      <c r="K452" s="10" t="n">
        <v>350000000</v>
      </c>
      <c r="L452" s="10" t="b">
        <v>0</v>
      </c>
      <c r="M452" s="10" t="n">
        <v>170</v>
      </c>
      <c r="N452" s="10" t="n">
        <v>0</v>
      </c>
      <c r="O452" s="10" t="n">
        <v>0</v>
      </c>
      <c r="P452" s="10" t="b">
        <v>0</v>
      </c>
    </row>
    <row r="453">
      <c r="A453" s="10" t="inlineStr">
        <is>
          <t>The Hunger Games</t>
        </is>
      </c>
      <c r="B453" s="10" t="inlineStr">
        <is>
          <t>card_452</t>
        </is>
      </c>
      <c r="C453" s="10" t="inlineStr">
        <is>
          <t>Gary Ross</t>
        </is>
      </c>
      <c r="D453" s="10" t="n">
        <v>2012</v>
      </c>
      <c r="E453" s="10" t="n">
        <v>3.84</v>
      </c>
      <c r="F453" s="10" t="n">
        <v>71</v>
      </c>
      <c r="I453" s="10" t="n">
        <v>695200000</v>
      </c>
      <c r="J453" s="10" t="b">
        <v>0</v>
      </c>
      <c r="K453" s="10" t="n">
        <v>78000000</v>
      </c>
      <c r="L453" s="10" t="b">
        <v>0</v>
      </c>
      <c r="M453" s="10" t="n">
        <v>142</v>
      </c>
      <c r="N453" s="10" t="n">
        <v>0</v>
      </c>
      <c r="O453" s="10" t="n">
        <v>0</v>
      </c>
      <c r="P453" s="10" t="b">
        <v>0</v>
      </c>
    </row>
    <row r="454">
      <c r="A454" s="10" t="inlineStr">
        <is>
          <t>The Hunger Games: Catching Fire</t>
        </is>
      </c>
      <c r="B454" s="10" t="inlineStr">
        <is>
          <t>card_453</t>
        </is>
      </c>
      <c r="C454" s="10" t="inlineStr">
        <is>
          <t>Francis Lawrence</t>
        </is>
      </c>
      <c r="D454" s="10" t="n">
        <v>2013</v>
      </c>
      <c r="E454" s="10" t="n">
        <v>3.97</v>
      </c>
      <c r="F454" s="10" t="n">
        <v>79</v>
      </c>
      <c r="I454" s="10" t="n">
        <v>865000000</v>
      </c>
      <c r="J454" s="10" t="b">
        <v>0</v>
      </c>
      <c r="K454" s="10" t="n">
        <v>130000000</v>
      </c>
      <c r="L454" s="10" t="b">
        <v>0</v>
      </c>
      <c r="M454" s="10" t="n">
        <v>146</v>
      </c>
      <c r="N454" s="10" t="n">
        <v>0</v>
      </c>
      <c r="O454" s="10" t="n">
        <v>0</v>
      </c>
      <c r="P454" s="10" t="b">
        <v>0</v>
      </c>
    </row>
    <row r="455">
      <c r="A455" s="10" t="inlineStr">
        <is>
          <t>The Hunger Games: Mockingjay - Part 1</t>
        </is>
      </c>
      <c r="B455" s="10" t="inlineStr">
        <is>
          <t>card_454</t>
        </is>
      </c>
      <c r="C455" s="10" t="inlineStr">
        <is>
          <t>Francis Lawrence</t>
        </is>
      </c>
      <c r="D455" s="10" t="n">
        <v>2014</v>
      </c>
      <c r="E455" s="10" t="n">
        <v>3.42</v>
      </c>
      <c r="F455" s="10" t="n">
        <v>63</v>
      </c>
      <c r="I455" s="10" t="n">
        <v>755400000</v>
      </c>
      <c r="J455" s="10" t="b">
        <v>0</v>
      </c>
      <c r="K455" s="10" t="n">
        <v>125000000</v>
      </c>
      <c r="L455" s="10" t="b">
        <v>0</v>
      </c>
      <c r="M455" s="10" t="n">
        <v>123</v>
      </c>
      <c r="N455" s="10" t="n">
        <v>0</v>
      </c>
      <c r="O455" s="10" t="n">
        <v>0</v>
      </c>
      <c r="P455" s="10" t="b">
        <v>0</v>
      </c>
    </row>
    <row r="456">
      <c r="A456" s="10" t="inlineStr">
        <is>
          <t>The Hunger Games: Mockingjay - Part 2</t>
        </is>
      </c>
      <c r="B456" s="10" t="inlineStr">
        <is>
          <t>card_455</t>
        </is>
      </c>
      <c r="C456" s="10" t="inlineStr">
        <is>
          <t>Francis Lawrence</t>
        </is>
      </c>
      <c r="D456" s="10" t="n">
        <v>2015</v>
      </c>
      <c r="E456" s="10" t="n">
        <v>3.52</v>
      </c>
      <c r="F456" s="10" t="n">
        <v>66</v>
      </c>
      <c r="I456" s="10" t="n">
        <v>661400000</v>
      </c>
      <c r="J456" s="10" t="b">
        <v>0</v>
      </c>
      <c r="K456" s="10" t="n">
        <v>160000000</v>
      </c>
      <c r="L456" s="10" t="b">
        <v>0</v>
      </c>
      <c r="M456" s="10" t="n">
        <v>137</v>
      </c>
      <c r="N456" s="10" t="n">
        <v>0</v>
      </c>
      <c r="O456" s="10" t="n">
        <v>0</v>
      </c>
      <c r="P456" s="10" t="b">
        <v>0</v>
      </c>
    </row>
    <row r="457">
      <c r="A457" s="10" t="inlineStr">
        <is>
          <t>The Hunger Games: The Ballad of Songbirds and Snakes</t>
        </is>
      </c>
      <c r="B457" s="10" t="inlineStr">
        <is>
          <t>card_456</t>
        </is>
      </c>
      <c r="C457" s="10" t="inlineStr">
        <is>
          <t>Francis Lawrence</t>
        </is>
      </c>
      <c r="D457" s="10" t="n">
        <v>2023</v>
      </c>
      <c r="E457" s="10" t="n">
        <v>3.59</v>
      </c>
      <c r="F457" s="10" t="n">
        <v>57</v>
      </c>
      <c r="I457" s="10" t="n">
        <v>361800000</v>
      </c>
      <c r="J457" s="10" t="b">
        <v>0</v>
      </c>
      <c r="K457" s="10" t="n">
        <v>100000000</v>
      </c>
      <c r="L457" s="10" t="b">
        <v>0</v>
      </c>
      <c r="M457" s="10" t="n">
        <v>157</v>
      </c>
      <c r="N457" s="10" t="n">
        <v>0</v>
      </c>
      <c r="O457" s="10" t="n">
        <v>0</v>
      </c>
      <c r="P457" s="10" t="b">
        <v>0</v>
      </c>
    </row>
    <row r="458">
      <c r="A458" s="10" t="inlineStr">
        <is>
          <t>Scream</t>
        </is>
      </c>
      <c r="B458" s="10" t="inlineStr">
        <is>
          <t>card_457</t>
        </is>
      </c>
      <c r="C458" s="10" t="inlineStr">
        <is>
          <t>Wes Craven</t>
        </is>
      </c>
      <c r="D458" s="10" t="n">
        <v>1996</v>
      </c>
      <c r="E458" s="10" t="n">
        <v>4.02</v>
      </c>
      <c r="F458" s="10" t="n">
        <v>83</v>
      </c>
      <c r="I458" s="10" t="n">
        <v>173000000</v>
      </c>
      <c r="J458" s="10" t="b">
        <v>0</v>
      </c>
      <c r="K458" s="10" t="n">
        <v>14000000</v>
      </c>
      <c r="L458" s="10" t="b">
        <v>0</v>
      </c>
      <c r="M458" s="10" t="n">
        <v>111</v>
      </c>
      <c r="N458" s="10" t="n">
        <v>0</v>
      </c>
      <c r="O458" s="10" t="n">
        <v>0</v>
      </c>
      <c r="P458" s="10" t="b">
        <v>0</v>
      </c>
    </row>
    <row r="459">
      <c r="A459" s="10" t="inlineStr">
        <is>
          <t>Scream 2</t>
        </is>
      </c>
      <c r="B459" s="10" t="inlineStr">
        <is>
          <t>card_458</t>
        </is>
      </c>
      <c r="C459" s="10" t="inlineStr">
        <is>
          <t>Wes Craven</t>
        </is>
      </c>
      <c r="D459" s="10" t="n">
        <v>1997</v>
      </c>
      <c r="E459" s="10" t="n">
        <v>3.27</v>
      </c>
      <c r="F459" s="10" t="n">
        <v>73</v>
      </c>
      <c r="I459" s="10" t="n">
        <v>172000000</v>
      </c>
      <c r="J459" s="10" t="b">
        <v>0</v>
      </c>
      <c r="K459" s="10" t="n">
        <v>24000000</v>
      </c>
      <c r="L459" s="10" t="b">
        <v>0</v>
      </c>
      <c r="M459" s="10" t="n">
        <v>120</v>
      </c>
      <c r="N459" s="10" t="n">
        <v>0</v>
      </c>
      <c r="O459" s="10" t="n">
        <v>0</v>
      </c>
      <c r="P459" s="10" t="b">
        <v>0</v>
      </c>
    </row>
    <row r="460">
      <c r="A460" s="10" t="inlineStr">
        <is>
          <t>Scream 3</t>
        </is>
      </c>
      <c r="B460" s="10" t="inlineStr">
        <is>
          <t>card_459</t>
        </is>
      </c>
      <c r="C460" s="10" t="inlineStr">
        <is>
          <t>Wes Craven</t>
        </is>
      </c>
      <c r="D460" s="10" t="n">
        <v>2000</v>
      </c>
      <c r="E460" s="10" t="n">
        <v>2.91</v>
      </c>
      <c r="F460" s="10" t="n">
        <v>63</v>
      </c>
      <c r="I460" s="10" t="n">
        <v>162000000</v>
      </c>
      <c r="J460" s="10" t="b">
        <v>0</v>
      </c>
      <c r="K460" s="10" t="n">
        <v>40000000</v>
      </c>
      <c r="L460" s="10" t="b">
        <v>0</v>
      </c>
      <c r="M460" s="10" t="n">
        <v>117</v>
      </c>
      <c r="N460" s="10" t="n">
        <v>0</v>
      </c>
      <c r="O460" s="10" t="n">
        <v>0</v>
      </c>
      <c r="P460" s="10" t="b">
        <v>0</v>
      </c>
    </row>
    <row r="461">
      <c r="A461" s="10" t="inlineStr">
        <is>
          <t>Scream 4</t>
        </is>
      </c>
      <c r="B461" s="10" t="inlineStr">
        <is>
          <t>card_460</t>
        </is>
      </c>
      <c r="C461" s="10" t="inlineStr">
        <is>
          <t>Wes Craven</t>
        </is>
      </c>
      <c r="D461" s="10" t="n">
        <v>2011</v>
      </c>
      <c r="E461" s="10" t="n">
        <v>3.39</v>
      </c>
      <c r="F461" s="10" t="n">
        <v>70</v>
      </c>
      <c r="I461" s="10" t="n">
        <v>97000000</v>
      </c>
      <c r="J461" s="10" t="b">
        <v>0</v>
      </c>
      <c r="K461" s="10" t="n">
        <v>40000000</v>
      </c>
      <c r="L461" s="10" t="b">
        <v>0</v>
      </c>
      <c r="M461" s="10" t="n">
        <v>111</v>
      </c>
      <c r="N461" s="10" t="n">
        <v>0</v>
      </c>
      <c r="O461" s="10" t="n">
        <v>0</v>
      </c>
      <c r="P461" s="10" t="b">
        <v>0</v>
      </c>
    </row>
    <row r="462">
      <c r="A462" s="10" t="inlineStr">
        <is>
          <t>Scream (2022)</t>
        </is>
      </c>
      <c r="B462" s="10" t="inlineStr">
        <is>
          <t>card_461</t>
        </is>
      </c>
      <c r="C462" s="10" t="inlineStr">
        <is>
          <t>Matt Bettinelli-Olpin and Tyler Gillett</t>
        </is>
      </c>
      <c r="D462" s="10" t="n">
        <v>2022</v>
      </c>
      <c r="E462" s="10" t="n">
        <v>3.26</v>
      </c>
      <c r="F462" s="10" t="n">
        <v>67</v>
      </c>
      <c r="I462" s="10" t="n">
        <v>138000000</v>
      </c>
      <c r="J462" s="10" t="b">
        <v>0</v>
      </c>
      <c r="K462" s="10" t="n">
        <v>24000000</v>
      </c>
      <c r="L462" s="10" t="b">
        <v>0</v>
      </c>
      <c r="M462" s="10" t="n">
        <v>114</v>
      </c>
      <c r="N462" s="10" t="n">
        <v>0</v>
      </c>
      <c r="O462" s="10" t="n">
        <v>0</v>
      </c>
      <c r="P462" s="10" t="b">
        <v>0</v>
      </c>
    </row>
    <row r="463">
      <c r="A463" s="10" t="inlineStr">
        <is>
          <t>Scream VI</t>
        </is>
      </c>
      <c r="B463" s="10" t="inlineStr">
        <is>
          <t>card_462</t>
        </is>
      </c>
      <c r="C463" s="10" t="inlineStr">
        <is>
          <t>Matt Bettinelli-Olpin and Tyler Gillett</t>
        </is>
      </c>
      <c r="D463" s="10" t="n">
        <v>2023</v>
      </c>
      <c r="E463" s="10" t="n">
        <v>3.35</v>
      </c>
      <c r="F463" s="10" t="n">
        <v>66</v>
      </c>
      <c r="I463" s="10" t="n">
        <v>167000000</v>
      </c>
      <c r="J463" s="10" t="b">
        <v>0</v>
      </c>
      <c r="K463" s="10" t="n">
        <v>35000000</v>
      </c>
      <c r="L463" s="10" t="b">
        <v>0</v>
      </c>
      <c r="M463" s="10" t="n">
        <v>122</v>
      </c>
      <c r="N463" s="10" t="n">
        <v>0</v>
      </c>
      <c r="O463" s="10" t="n">
        <v>0</v>
      </c>
      <c r="P463" s="10" t="b">
        <v>0</v>
      </c>
    </row>
    <row r="464">
      <c r="A464" s="10" t="inlineStr">
        <is>
          <t>The Evil Dead</t>
        </is>
      </c>
      <c r="B464" s="10" t="inlineStr">
        <is>
          <t>card_463</t>
        </is>
      </c>
      <c r="C464" s="10" t="inlineStr">
        <is>
          <t>Sam Raimi</t>
        </is>
      </c>
      <c r="D464" s="10" t="n">
        <v>1981</v>
      </c>
      <c r="E464" s="10" t="n">
        <v>3.62</v>
      </c>
      <c r="F464" s="10" t="n">
        <v>79</v>
      </c>
      <c r="I464" s="10" t="n">
        <v>29400000</v>
      </c>
      <c r="J464" s="10" t="b">
        <v>0</v>
      </c>
      <c r="K464" s="10" t="n">
        <v>375000</v>
      </c>
      <c r="L464" s="10" t="b">
        <v>0</v>
      </c>
      <c r="M464" s="10" t="n">
        <v>85</v>
      </c>
      <c r="N464" s="10" t="n">
        <v>0</v>
      </c>
      <c r="O464" s="10" t="n">
        <v>0</v>
      </c>
      <c r="P464" s="10" t="b">
        <v>0</v>
      </c>
    </row>
    <row r="465">
      <c r="A465" s="10" t="inlineStr">
        <is>
          <t>Evil Dead II</t>
        </is>
      </c>
      <c r="B465" s="10" t="inlineStr">
        <is>
          <t>card_464</t>
        </is>
      </c>
      <c r="C465" s="10" t="inlineStr">
        <is>
          <t>Sam Raimi</t>
        </is>
      </c>
      <c r="D465" s="10" t="n">
        <v>1987</v>
      </c>
      <c r="E465" s="10" t="n">
        <v>3.99</v>
      </c>
      <c r="F465" s="10" t="n">
        <v>82</v>
      </c>
      <c r="I465" s="10" t="n">
        <v>5900000</v>
      </c>
      <c r="J465" s="10" t="b">
        <v>0</v>
      </c>
      <c r="K465" s="10" t="n">
        <v>3500000</v>
      </c>
      <c r="L465" s="10" t="b">
        <v>0</v>
      </c>
      <c r="M465" s="10" t="n">
        <v>84</v>
      </c>
      <c r="N465" s="10" t="n">
        <v>0</v>
      </c>
      <c r="O465" s="10" t="n">
        <v>0</v>
      </c>
      <c r="P465" s="10" t="b">
        <v>0</v>
      </c>
    </row>
    <row r="466">
      <c r="A466" s="10" t="inlineStr">
        <is>
          <t>Army of Darkness</t>
        </is>
      </c>
      <c r="B466" s="10" t="inlineStr">
        <is>
          <t>card_465</t>
        </is>
      </c>
      <c r="C466" s="10" t="inlineStr">
        <is>
          <t>Sam Raimi</t>
        </is>
      </c>
      <c r="D466" s="10" t="n">
        <v>1992</v>
      </c>
      <c r="E466" s="10" t="n">
        <v>3.71</v>
      </c>
      <c r="F466" s="10" t="n">
        <v>79</v>
      </c>
      <c r="I466" s="10" t="n">
        <v>21500000</v>
      </c>
      <c r="J466" s="10" t="b">
        <v>0</v>
      </c>
      <c r="K466" s="10" t="n">
        <v>11000000</v>
      </c>
      <c r="L466" s="10" t="b">
        <v>0</v>
      </c>
      <c r="M466" s="10" t="n">
        <v>81</v>
      </c>
      <c r="N466" s="10" t="n">
        <v>0</v>
      </c>
      <c r="O466" s="10" t="n">
        <v>0</v>
      </c>
      <c r="P466" s="10" t="b">
        <v>0</v>
      </c>
    </row>
    <row r="467">
      <c r="A467" s="10" t="inlineStr">
        <is>
          <t>Evil Dead</t>
        </is>
      </c>
      <c r="B467" s="10" t="inlineStr">
        <is>
          <t>card_466</t>
        </is>
      </c>
      <c r="C467" s="10" t="inlineStr">
        <is>
          <t>Fede Alvarez</t>
        </is>
      </c>
      <c r="D467" s="10" t="n">
        <v>2013</v>
      </c>
      <c r="E467" s="10" t="n">
        <v>3.41</v>
      </c>
      <c r="F467" s="10" t="n">
        <v>72</v>
      </c>
      <c r="I467" s="10" t="n">
        <v>97500000</v>
      </c>
      <c r="J467" s="10" t="b">
        <v>0</v>
      </c>
      <c r="K467" s="10" t="n">
        <v>17000000</v>
      </c>
      <c r="L467" s="10" t="b">
        <v>0</v>
      </c>
      <c r="M467" s="10" t="n">
        <v>92</v>
      </c>
      <c r="N467" s="10" t="n">
        <v>0</v>
      </c>
      <c r="O467" s="10" t="n">
        <v>0</v>
      </c>
      <c r="P467" s="10" t="b">
        <v>0</v>
      </c>
    </row>
    <row r="468">
      <c r="A468" s="10" t="inlineStr">
        <is>
          <t>Evil Dead Rise</t>
        </is>
      </c>
      <c r="B468" s="10" t="inlineStr">
        <is>
          <t>card_467</t>
        </is>
      </c>
      <c r="C468" s="10" t="inlineStr">
        <is>
          <t>Lee Cronin</t>
        </is>
      </c>
      <c r="D468" s="10" t="n">
        <v>2023</v>
      </c>
      <c r="E468" s="10" t="n">
        <v>3.15</v>
      </c>
      <c r="F468" s="10" t="n">
        <v>69</v>
      </c>
      <c r="I468" s="10" t="n">
        <v>147000000</v>
      </c>
      <c r="J468" s="10" t="b">
        <v>0</v>
      </c>
      <c r="K468" s="10" t="n">
        <v>17000000</v>
      </c>
      <c r="L468" s="10" t="b">
        <v>0</v>
      </c>
      <c r="M468" s="10" t="n">
        <v>96</v>
      </c>
      <c r="N468" s="10" t="n">
        <v>0</v>
      </c>
      <c r="O468" s="10" t="n">
        <v>0</v>
      </c>
      <c r="P468" s="10" t="b">
        <v>0</v>
      </c>
    </row>
    <row r="469">
      <c r="A469" s="10" t="inlineStr">
        <is>
          <t>Planet of the Apes</t>
        </is>
      </c>
      <c r="B469" s="10" t="inlineStr">
        <is>
          <t>card_468</t>
        </is>
      </c>
      <c r="C469" s="10" t="inlineStr">
        <is>
          <t>Franklin J. Schaffner</t>
        </is>
      </c>
      <c r="D469" s="10" t="n">
        <v>1968</v>
      </c>
      <c r="E469" s="10" t="n">
        <v>4.01</v>
      </c>
      <c r="F469" s="10" t="n">
        <v>83</v>
      </c>
      <c r="I469" s="10" t="n">
        <v>33300000</v>
      </c>
      <c r="J469" s="10" t="b">
        <v>1</v>
      </c>
      <c r="K469" s="10" t="n">
        <v>5800000</v>
      </c>
      <c r="L469" s="10" t="b">
        <v>0</v>
      </c>
      <c r="M469" s="10" t="n">
        <v>112</v>
      </c>
      <c r="N469" s="10" t="n">
        <v>1</v>
      </c>
      <c r="O469" s="10" t="n">
        <v>1</v>
      </c>
      <c r="P469" s="10" t="b">
        <v>0</v>
      </c>
    </row>
    <row r="470">
      <c r="A470" s="10" t="inlineStr">
        <is>
          <t>Beneath the Planet of the Apes</t>
        </is>
      </c>
      <c r="B470" s="10" t="inlineStr">
        <is>
          <t>card_469</t>
        </is>
      </c>
      <c r="C470" s="10" t="inlineStr">
        <is>
          <t>Ted Post</t>
        </is>
      </c>
      <c r="D470" s="10" t="n">
        <v>1970</v>
      </c>
      <c r="E470" s="10" t="n">
        <v>2.78</v>
      </c>
      <c r="F470" s="10" t="n">
        <v>53</v>
      </c>
      <c r="I470" s="10" t="n">
        <v>19000000</v>
      </c>
      <c r="J470" s="10" t="b">
        <v>1</v>
      </c>
      <c r="K470" s="10" t="n">
        <v>2500000</v>
      </c>
      <c r="L470" s="10" t="b">
        <v>0</v>
      </c>
      <c r="M470" s="10" t="n">
        <v>95</v>
      </c>
      <c r="N470" s="10" t="n">
        <v>0</v>
      </c>
      <c r="O470" s="10" t="n">
        <v>0</v>
      </c>
      <c r="P470" s="10" t="b">
        <v>0</v>
      </c>
    </row>
    <row r="471">
      <c r="A471" s="10" t="inlineStr">
        <is>
          <t>Escape from the Planet of the Apes</t>
        </is>
      </c>
      <c r="B471" s="10" t="inlineStr">
        <is>
          <t>card_470</t>
        </is>
      </c>
      <c r="C471" s="10" t="inlineStr">
        <is>
          <t>Don Taylor</t>
        </is>
      </c>
      <c r="D471" s="10" t="n">
        <v>1971</v>
      </c>
      <c r="E471" s="10" t="n">
        <v>3.25</v>
      </c>
      <c r="F471" s="10" t="n">
        <v>67</v>
      </c>
      <c r="I471" s="10" t="n">
        <v>12300000</v>
      </c>
      <c r="J471" s="10" t="b">
        <v>0</v>
      </c>
      <c r="K471" s="10" t="n">
        <v>2000000</v>
      </c>
      <c r="L471" s="10" t="b">
        <v>0</v>
      </c>
      <c r="M471" s="10" t="n">
        <v>98</v>
      </c>
      <c r="N471" s="10" t="n">
        <v>0</v>
      </c>
      <c r="O471" s="10" t="n">
        <v>0</v>
      </c>
      <c r="P471" s="10" t="b">
        <v>0</v>
      </c>
    </row>
    <row r="472">
      <c r="A472" s="10" t="inlineStr">
        <is>
          <t>Conquest of the Planet of the Apes</t>
        </is>
      </c>
      <c r="B472" s="10" t="inlineStr">
        <is>
          <t>card_471</t>
        </is>
      </c>
      <c r="C472" s="10" t="inlineStr">
        <is>
          <t>J. Lee Thompson</t>
        </is>
      </c>
      <c r="D472" s="10" t="n">
        <v>1972</v>
      </c>
      <c r="E472" s="10" t="n">
        <v>3.16</v>
      </c>
      <c r="F472" s="10" t="n">
        <v>62</v>
      </c>
      <c r="I472" s="10" t="n">
        <v>9700000</v>
      </c>
      <c r="J472" s="10" t="b">
        <v>0</v>
      </c>
      <c r="K472" s="10" t="n">
        <v>1700000</v>
      </c>
      <c r="L472" s="10" t="b">
        <v>0</v>
      </c>
      <c r="M472" s="10" t="n">
        <v>88</v>
      </c>
      <c r="N472" s="10" t="n">
        <v>0</v>
      </c>
      <c r="O472" s="10" t="n">
        <v>0</v>
      </c>
      <c r="P472" s="10" t="b">
        <v>0</v>
      </c>
    </row>
    <row r="473">
      <c r="A473" s="10" t="inlineStr">
        <is>
          <t>Battle for the Planet of the Apes</t>
        </is>
      </c>
      <c r="B473" s="10" t="inlineStr">
        <is>
          <t>card_472</t>
        </is>
      </c>
      <c r="C473" s="10" t="inlineStr">
        <is>
          <t>J. Lee Thompson</t>
        </is>
      </c>
      <c r="D473" s="10" t="n">
        <v>1973</v>
      </c>
      <c r="E473" s="10" t="n">
        <v>2.6</v>
      </c>
      <c r="F473" s="10" t="n">
        <v>53</v>
      </c>
      <c r="I473" s="10" t="n">
        <v>8800000</v>
      </c>
      <c r="J473" s="10" t="b">
        <v>0</v>
      </c>
      <c r="K473" s="10" t="n">
        <v>1700000</v>
      </c>
      <c r="L473" s="10" t="b">
        <v>0</v>
      </c>
      <c r="M473" s="10" t="n">
        <v>87</v>
      </c>
      <c r="N473" s="10" t="n">
        <v>0</v>
      </c>
      <c r="O473" s="10" t="n">
        <v>0</v>
      </c>
      <c r="P473" s="10" t="b">
        <v>0</v>
      </c>
    </row>
    <row r="474">
      <c r="A474" s="10" t="inlineStr">
        <is>
          <t>Rise of the Planet of the Apes</t>
        </is>
      </c>
      <c r="B474" s="10" t="inlineStr">
        <is>
          <t>card_473</t>
        </is>
      </c>
      <c r="C474" s="10" t="inlineStr">
        <is>
          <t>Rupert Wyatt</t>
        </is>
      </c>
      <c r="D474" s="10" t="n">
        <v>2011</v>
      </c>
      <c r="E474" s="10" t="n">
        <v>3.69</v>
      </c>
      <c r="F474" s="10" t="n">
        <v>78</v>
      </c>
      <c r="I474" s="10" t="n">
        <v>481800000</v>
      </c>
      <c r="J474" s="10" t="b">
        <v>0</v>
      </c>
      <c r="K474" s="10" t="n">
        <v>93000000</v>
      </c>
      <c r="L474" s="10" t="b">
        <v>0</v>
      </c>
      <c r="M474" s="10" t="n">
        <v>105</v>
      </c>
      <c r="N474" s="10" t="n">
        <v>0</v>
      </c>
      <c r="O474" s="10" t="n">
        <v>0</v>
      </c>
      <c r="P474" s="10" t="b">
        <v>0</v>
      </c>
    </row>
    <row r="475">
      <c r="A475" s="10" t="inlineStr">
        <is>
          <t>Dawn of the Planet of the Apes</t>
        </is>
      </c>
      <c r="B475" s="10" t="inlineStr">
        <is>
          <t>card_474</t>
        </is>
      </c>
      <c r="C475" s="10" t="inlineStr">
        <is>
          <t>Matt Reeves</t>
        </is>
      </c>
      <c r="D475" s="10" t="n">
        <v>2014</v>
      </c>
      <c r="E475" s="10" t="n">
        <v>3.86</v>
      </c>
      <c r="F475" s="10" t="n">
        <v>82</v>
      </c>
      <c r="I475" s="10" t="n">
        <v>710600000</v>
      </c>
      <c r="J475" s="10" t="b">
        <v>0</v>
      </c>
      <c r="K475" s="10" t="n">
        <v>170000000</v>
      </c>
      <c r="L475" s="10" t="b">
        <v>0</v>
      </c>
      <c r="M475" s="10" t="n">
        <v>130</v>
      </c>
      <c r="N475" s="10" t="n">
        <v>0</v>
      </c>
      <c r="O475" s="10" t="n">
        <v>0</v>
      </c>
      <c r="P475" s="10" t="b">
        <v>0</v>
      </c>
    </row>
    <row r="476">
      <c r="A476" s="10" t="inlineStr">
        <is>
          <t>War for the Planet of the Apes</t>
        </is>
      </c>
      <c r="B476" s="10" t="inlineStr">
        <is>
          <t>card_475</t>
        </is>
      </c>
      <c r="C476" s="10" t="inlineStr">
        <is>
          <t>Matt Reeves</t>
        </is>
      </c>
      <c r="D476" s="10" t="n">
        <v>2017</v>
      </c>
      <c r="E476" s="10" t="n">
        <v>3.83</v>
      </c>
      <c r="F476" s="10" t="n">
        <v>79</v>
      </c>
      <c r="I476" s="10" t="n">
        <v>490700000</v>
      </c>
      <c r="J476" s="10" t="b">
        <v>0</v>
      </c>
      <c r="K476" s="10" t="n">
        <v>150000000</v>
      </c>
      <c r="L476" s="10" t="b">
        <v>0</v>
      </c>
      <c r="M476" s="10" t="n">
        <v>140</v>
      </c>
      <c r="N476" s="10" t="n">
        <v>0</v>
      </c>
      <c r="O476" s="10" t="n">
        <v>0</v>
      </c>
      <c r="P476" s="10" t="b">
        <v>0</v>
      </c>
    </row>
    <row r="477">
      <c r="A477" s="10" t="inlineStr">
        <is>
          <t>Kingdom of the Planet of the Apes</t>
        </is>
      </c>
      <c r="B477" s="10" t="inlineStr">
        <is>
          <t>card_476</t>
        </is>
      </c>
      <c r="C477" s="10" t="inlineStr">
        <is>
          <t>Wes Ball</t>
        </is>
      </c>
      <c r="D477" s="10" t="n">
        <v>2024</v>
      </c>
      <c r="E477" s="10" t="n">
        <v>3.32</v>
      </c>
      <c r="F477" s="10" t="n">
        <v>70</v>
      </c>
      <c r="I477" s="10" t="n">
        <v>397300000</v>
      </c>
      <c r="J477" s="10" t="b">
        <v>0</v>
      </c>
      <c r="K477" s="10" t="n">
        <v>160000000</v>
      </c>
      <c r="L477" s="10" t="b">
        <v>0</v>
      </c>
      <c r="M477" s="10" t="n">
        <v>145</v>
      </c>
      <c r="N477" s="10" t="n">
        <v>0</v>
      </c>
      <c r="O477" s="10" t="n">
        <v>0</v>
      </c>
      <c r="P477" s="10" t="b">
        <v>0</v>
      </c>
    </row>
    <row r="478">
      <c r="A478" s="10" t="inlineStr">
        <is>
          <t>Saw</t>
        </is>
      </c>
      <c r="B478" s="10" t="inlineStr">
        <is>
          <t>card_477</t>
        </is>
      </c>
      <c r="C478" s="10" t="inlineStr">
        <is>
          <t>James Wan</t>
        </is>
      </c>
      <c r="D478" s="10" t="n">
        <v>2004</v>
      </c>
      <c r="E478" s="10" t="n">
        <v>3.69</v>
      </c>
      <c r="F478" s="10" t="n">
        <v>77</v>
      </c>
      <c r="I478" s="10" t="n">
        <v>104000000</v>
      </c>
      <c r="J478" s="10" t="b">
        <v>0</v>
      </c>
      <c r="K478" s="10" t="n">
        <v>1200000</v>
      </c>
      <c r="L478" s="10" t="b">
        <v>0</v>
      </c>
      <c r="M478" s="10" t="n">
        <v>103</v>
      </c>
      <c r="N478" s="10" t="n">
        <v>0</v>
      </c>
      <c r="O478" s="10" t="n">
        <v>0</v>
      </c>
      <c r="P478" s="10" t="b">
        <v>0</v>
      </c>
    </row>
    <row r="479">
      <c r="A479" s="10" t="inlineStr">
        <is>
          <t>Saw II</t>
        </is>
      </c>
      <c r="B479" s="10" t="inlineStr">
        <is>
          <t>card_478</t>
        </is>
      </c>
      <c r="C479" s="10" t="inlineStr">
        <is>
          <t>Darren Lynn Bousman</t>
        </is>
      </c>
      <c r="D479" s="10" t="n">
        <v>2005</v>
      </c>
      <c r="E479" s="10" t="n">
        <v>3.29</v>
      </c>
      <c r="F479" s="10" t="n">
        <v>69</v>
      </c>
      <c r="I479" s="10" t="n">
        <v>152900000</v>
      </c>
      <c r="J479" s="10" t="b">
        <v>0</v>
      </c>
      <c r="K479" s="10" t="n">
        <v>4000000</v>
      </c>
      <c r="L479" s="10" t="b">
        <v>0</v>
      </c>
      <c r="M479" s="10" t="n">
        <v>93</v>
      </c>
      <c r="N479" s="10" t="n">
        <v>0</v>
      </c>
      <c r="O479" s="10" t="n">
        <v>0</v>
      </c>
      <c r="P479" s="10" t="b">
        <v>0</v>
      </c>
    </row>
    <row r="480">
      <c r="A480" s="10" t="inlineStr">
        <is>
          <t>Saw III</t>
        </is>
      </c>
      <c r="B480" s="10" t="inlineStr">
        <is>
          <t>card_479</t>
        </is>
      </c>
      <c r="C480" s="10" t="inlineStr">
        <is>
          <t>Darren Lynn Bousman</t>
        </is>
      </c>
      <c r="D480" s="10" t="n">
        <v>2006</v>
      </c>
      <c r="E480" s="10" t="n">
        <v>3.07</v>
      </c>
      <c r="F480" s="10" t="n">
        <v>66</v>
      </c>
      <c r="I480" s="10" t="n">
        <v>164900000</v>
      </c>
      <c r="J480" s="10" t="b">
        <v>0</v>
      </c>
      <c r="K480" s="10" t="n">
        <v>10000000</v>
      </c>
      <c r="L480" s="10" t="b">
        <v>0</v>
      </c>
      <c r="M480" s="10" t="n">
        <v>108</v>
      </c>
      <c r="N480" s="10" t="n">
        <v>0</v>
      </c>
      <c r="O480" s="10" t="n">
        <v>0</v>
      </c>
      <c r="P480" s="10" t="b">
        <v>0</v>
      </c>
    </row>
    <row r="481">
      <c r="A481" s="10" t="inlineStr">
        <is>
          <t>Saw IV</t>
        </is>
      </c>
      <c r="B481" s="10" t="inlineStr">
        <is>
          <t>card_480</t>
        </is>
      </c>
      <c r="C481" s="10" t="inlineStr">
        <is>
          <t>Darren Lynn Bousman</t>
        </is>
      </c>
      <c r="D481" s="10" t="n">
        <v>2007</v>
      </c>
      <c r="E481" s="10" t="n">
        <v>2.81</v>
      </c>
      <c r="F481" s="10" t="n">
        <v>59</v>
      </c>
      <c r="I481" s="10" t="n">
        <v>139400000</v>
      </c>
      <c r="J481" s="10" t="b">
        <v>0</v>
      </c>
      <c r="K481" s="10" t="n">
        <v>10000000</v>
      </c>
      <c r="L481" s="10" t="b">
        <v>0</v>
      </c>
      <c r="M481" s="10" t="n">
        <v>92</v>
      </c>
      <c r="N481" s="10" t="n">
        <v>0</v>
      </c>
      <c r="O481" s="10" t="n">
        <v>0</v>
      </c>
      <c r="P481" s="10" t="b">
        <v>0</v>
      </c>
    </row>
    <row r="482">
      <c r="A482" s="10" t="inlineStr">
        <is>
          <t>Saw V</t>
        </is>
      </c>
      <c r="B482" s="10" t="inlineStr">
        <is>
          <t>card_481</t>
        </is>
      </c>
      <c r="C482" s="10" t="inlineStr">
        <is>
          <t>David Hackl</t>
        </is>
      </c>
      <c r="D482" s="10" t="n">
        <v>2008</v>
      </c>
      <c r="E482" s="10" t="n">
        <v>2.76</v>
      </c>
      <c r="F482" s="10" t="n">
        <v>55</v>
      </c>
      <c r="I482" s="10" t="n">
        <v>118200000</v>
      </c>
      <c r="J482" s="10" t="b">
        <v>0</v>
      </c>
      <c r="K482" s="10" t="n">
        <v>10800000</v>
      </c>
      <c r="L482" s="10" t="b">
        <v>0</v>
      </c>
      <c r="M482" s="10" t="n">
        <v>92</v>
      </c>
      <c r="N482" s="10" t="n">
        <v>0</v>
      </c>
      <c r="O482" s="10" t="n">
        <v>0</v>
      </c>
      <c r="P482" s="10" t="b">
        <v>0</v>
      </c>
    </row>
    <row r="483">
      <c r="A483" s="10" t="inlineStr">
        <is>
          <t>Saw VI</t>
        </is>
      </c>
      <c r="B483" s="10" t="inlineStr">
        <is>
          <t>card_482</t>
        </is>
      </c>
      <c r="C483" s="10" t="inlineStr">
        <is>
          <t>Kevin Greutert</t>
        </is>
      </c>
      <c r="D483" s="10" t="n">
        <v>2009</v>
      </c>
      <c r="E483" s="10" t="n">
        <v>2.97</v>
      </c>
      <c r="F483" s="10" t="n">
        <v>65</v>
      </c>
      <c r="I483" s="10" t="n">
        <v>69800000</v>
      </c>
      <c r="J483" s="10" t="b">
        <v>0</v>
      </c>
      <c r="K483" s="10" t="n">
        <v>11000000</v>
      </c>
      <c r="L483" s="10" t="b">
        <v>0</v>
      </c>
      <c r="M483" s="10" t="n">
        <v>90</v>
      </c>
      <c r="N483" s="10" t="n">
        <v>0</v>
      </c>
      <c r="O483" s="10" t="n">
        <v>0</v>
      </c>
      <c r="P483" s="10" t="b">
        <v>0</v>
      </c>
    </row>
    <row r="484">
      <c r="A484" s="10" t="inlineStr">
        <is>
          <t>Saw 3D</t>
        </is>
      </c>
      <c r="B484" s="10" t="inlineStr">
        <is>
          <t>card_483</t>
        </is>
      </c>
      <c r="C484" s="10" t="inlineStr">
        <is>
          <t>Kevin Greutert</t>
        </is>
      </c>
      <c r="D484" s="10" t="n">
        <v>2010</v>
      </c>
      <c r="E484" s="10" t="n">
        <v>2.43</v>
      </c>
      <c r="F484" s="10" t="n">
        <v>52</v>
      </c>
      <c r="I484" s="10" t="n">
        <v>136200000</v>
      </c>
      <c r="J484" s="10" t="b">
        <v>0</v>
      </c>
      <c r="K484" s="10" t="n">
        <v>17000000</v>
      </c>
      <c r="L484" s="10" t="b">
        <v>0</v>
      </c>
      <c r="M484" s="10" t="n">
        <v>90</v>
      </c>
      <c r="N484" s="10" t="n">
        <v>0</v>
      </c>
      <c r="O484" s="10" t="n">
        <v>0</v>
      </c>
      <c r="P484" s="10" t="b">
        <v>0</v>
      </c>
    </row>
    <row r="485">
      <c r="A485" s="10" t="inlineStr">
        <is>
          <t>Jigsaw</t>
        </is>
      </c>
      <c r="B485" s="10" t="inlineStr">
        <is>
          <t>card_484</t>
        </is>
      </c>
      <c r="C485" s="10" t="inlineStr">
        <is>
          <t>Michael Spierig and Peter Spierig</t>
        </is>
      </c>
      <c r="D485" s="10" t="n">
        <v>2017</v>
      </c>
      <c r="E485" s="10" t="n">
        <v>2.96</v>
      </c>
      <c r="F485" s="10" t="n">
        <v>59</v>
      </c>
      <c r="I485" s="10" t="n">
        <v>104200000</v>
      </c>
      <c r="J485" s="10" t="b">
        <v>0</v>
      </c>
      <c r="K485" s="10" t="n">
        <v>10000000</v>
      </c>
      <c r="L485" s="10" t="b">
        <v>0</v>
      </c>
      <c r="M485" s="10" t="n">
        <v>92</v>
      </c>
      <c r="N485" s="10" t="n">
        <v>0</v>
      </c>
      <c r="O485" s="10" t="n">
        <v>0</v>
      </c>
      <c r="P485" s="10" t="b">
        <v>0</v>
      </c>
    </row>
    <row r="486">
      <c r="A486" s="10" t="inlineStr">
        <is>
          <t>Spiral: From the Book of Saw</t>
        </is>
      </c>
      <c r="B486" s="10" t="inlineStr">
        <is>
          <t>card_485</t>
        </is>
      </c>
      <c r="C486" s="10" t="inlineStr">
        <is>
          <t>Darren Lynn Bousman</t>
        </is>
      </c>
      <c r="D486" s="10" t="n">
        <v>2021</v>
      </c>
      <c r="E486" s="10" t="n">
        <v>2.05</v>
      </c>
      <c r="F486" s="10" t="n">
        <v>50</v>
      </c>
      <c r="I486" s="10" t="n">
        <v>40600000</v>
      </c>
      <c r="J486" s="10" t="b">
        <v>0</v>
      </c>
      <c r="K486" s="10" t="n">
        <v>20000000</v>
      </c>
      <c r="L486" s="10" t="b">
        <v>0</v>
      </c>
      <c r="M486" s="10" t="n">
        <v>93</v>
      </c>
      <c r="N486" s="10" t="n">
        <v>0</v>
      </c>
      <c r="O486" s="10" t="n">
        <v>0</v>
      </c>
      <c r="P486" s="10" t="b">
        <v>0</v>
      </c>
    </row>
    <row r="487">
      <c r="A487" s="10" t="inlineStr">
        <is>
          <t>Saw X</t>
        </is>
      </c>
      <c r="B487" s="10" t="inlineStr">
        <is>
          <t>card_486</t>
        </is>
      </c>
      <c r="C487" s="10" t="inlineStr">
        <is>
          <t>Kevin Greutert</t>
        </is>
      </c>
      <c r="D487" s="10" t="n">
        <v>2023</v>
      </c>
      <c r="E487" s="10" t="n">
        <v>3.26</v>
      </c>
      <c r="F487" s="10" t="n">
        <v>73</v>
      </c>
      <c r="I487" s="10" t="n">
        <v>125300000</v>
      </c>
      <c r="J487" s="10" t="b">
        <v>0</v>
      </c>
      <c r="K487" s="10" t="n">
        <v>13000000</v>
      </c>
      <c r="L487" s="10" t="b">
        <v>0</v>
      </c>
      <c r="M487" s="10" t="n">
        <v>118</v>
      </c>
      <c r="N487" s="10" t="n">
        <v>0</v>
      </c>
      <c r="O487" s="10" t="n">
        <v>0</v>
      </c>
      <c r="P487" s="10" t="b">
        <v>0</v>
      </c>
    </row>
    <row r="488">
      <c r="A488" s="10" t="inlineStr">
        <is>
          <t>Halloween II (1981)</t>
        </is>
      </c>
      <c r="B488" s="10" t="inlineStr">
        <is>
          <t>card_487</t>
        </is>
      </c>
      <c r="C488" s="10" t="inlineStr">
        <is>
          <t>Rick Rosenthal</t>
        </is>
      </c>
      <c r="D488" s="10" t="n">
        <v>1981</v>
      </c>
      <c r="E488" s="10" t="n">
        <v>3.2</v>
      </c>
      <c r="F488" s="10" t="n">
        <v>73</v>
      </c>
      <c r="I488" s="10" t="n">
        <v>25500000</v>
      </c>
      <c r="J488" s="10" t="b">
        <v>0</v>
      </c>
      <c r="K488" s="10" t="n">
        <v>2500000</v>
      </c>
      <c r="L488" s="10" t="b">
        <v>0</v>
      </c>
      <c r="M488" s="10" t="n">
        <v>92</v>
      </c>
      <c r="N488" s="10" t="n">
        <v>0</v>
      </c>
      <c r="O488" s="10" t="n">
        <v>0</v>
      </c>
      <c r="P488" s="10" t="b">
        <v>0</v>
      </c>
    </row>
    <row r="489">
      <c r="A489" s="10" t="inlineStr">
        <is>
          <t>Halloween III: Season of the Witch</t>
        </is>
      </c>
      <c r="B489" s="10" t="inlineStr">
        <is>
          <t>card_488</t>
        </is>
      </c>
      <c r="C489" s="10" t="inlineStr">
        <is>
          <t>Tommy Lee Wallace</t>
        </is>
      </c>
      <c r="D489" s="10" t="n">
        <v>1982</v>
      </c>
      <c r="E489" s="10" t="n">
        <v>2.82</v>
      </c>
      <c r="F489" s="10" t="n">
        <v>62</v>
      </c>
      <c r="I489" s="10" t="n">
        <v>14400000</v>
      </c>
      <c r="J489" s="10" t="b">
        <v>1</v>
      </c>
      <c r="K489" s="10" t="n">
        <v>4600000</v>
      </c>
      <c r="L489" s="10" t="b">
        <v>0</v>
      </c>
      <c r="M489" s="10" t="n">
        <v>99</v>
      </c>
      <c r="N489" s="10" t="n">
        <v>0</v>
      </c>
      <c r="O489" s="10" t="n">
        <v>0</v>
      </c>
      <c r="P489" s="10" t="b">
        <v>0</v>
      </c>
    </row>
    <row r="490">
      <c r="A490" s="10" t="inlineStr">
        <is>
          <t>Halloween 4: The Return of Michael Myers</t>
        </is>
      </c>
      <c r="B490" s="10" t="inlineStr">
        <is>
          <t>card_489</t>
        </is>
      </c>
      <c r="C490" s="10" t="inlineStr">
        <is>
          <t>Dwight H. Little</t>
        </is>
      </c>
      <c r="D490" s="10" t="n">
        <v>1988</v>
      </c>
      <c r="E490" s="10" t="n">
        <v>2.81</v>
      </c>
      <c r="F490" s="10" t="n">
        <v>64</v>
      </c>
      <c r="I490" s="10" t="n">
        <v>17800000</v>
      </c>
      <c r="J490" s="10" t="b">
        <v>0</v>
      </c>
      <c r="K490" s="10" t="n">
        <v>5000000</v>
      </c>
      <c r="L490" s="10" t="b">
        <v>0</v>
      </c>
      <c r="M490" s="10" t="n">
        <v>88</v>
      </c>
      <c r="N490" s="10" t="n">
        <v>0</v>
      </c>
      <c r="O490" s="10" t="n">
        <v>0</v>
      </c>
      <c r="P490" s="10" t="b">
        <v>0</v>
      </c>
    </row>
    <row r="491">
      <c r="A491" s="10" t="inlineStr">
        <is>
          <t>Halloween 5: The Revenge of Michael Myers</t>
        </is>
      </c>
      <c r="B491" s="10" t="inlineStr">
        <is>
          <t>card_490</t>
        </is>
      </c>
      <c r="C491" s="10" t="inlineStr">
        <is>
          <t>Dominique Othenin-Girard</t>
        </is>
      </c>
      <c r="D491" s="10" t="n">
        <v>1989</v>
      </c>
      <c r="E491" s="10" t="n">
        <v>2.16</v>
      </c>
      <c r="F491" s="10" t="n">
        <v>47</v>
      </c>
      <c r="I491" s="10" t="n">
        <v>11600000</v>
      </c>
      <c r="J491" s="10" t="b">
        <v>0</v>
      </c>
      <c r="K491" s="10" t="n">
        <v>5500000</v>
      </c>
      <c r="L491" s="10" t="b">
        <v>0</v>
      </c>
      <c r="M491" s="10" t="n">
        <v>96</v>
      </c>
      <c r="N491" s="10" t="n">
        <v>0</v>
      </c>
      <c r="O491" s="10" t="n">
        <v>0</v>
      </c>
      <c r="P491" s="10" t="b">
        <v>0</v>
      </c>
    </row>
    <row r="492">
      <c r="A492" s="10" t="inlineStr">
        <is>
          <t>Halloween: The Curse of Michael Myers</t>
        </is>
      </c>
      <c r="B492" s="10" t="inlineStr">
        <is>
          <t>card_491</t>
        </is>
      </c>
      <c r="C492" s="10" t="inlineStr">
        <is>
          <t>Joe Chappelle</t>
        </is>
      </c>
      <c r="D492" s="10" t="n">
        <v>1995</v>
      </c>
      <c r="E492" s="10" t="n">
        <v>2.05</v>
      </c>
      <c r="F492" s="10" t="n">
        <v>45</v>
      </c>
      <c r="I492" s="10" t="n">
        <v>15100000</v>
      </c>
      <c r="J492" s="10" t="b">
        <v>1</v>
      </c>
      <c r="K492" s="10" t="n">
        <v>5000000</v>
      </c>
      <c r="L492" s="10" t="b">
        <v>0</v>
      </c>
      <c r="M492" s="10" t="n">
        <v>88</v>
      </c>
      <c r="N492" s="10" t="n">
        <v>0</v>
      </c>
      <c r="O492" s="10" t="n">
        <v>0</v>
      </c>
      <c r="P492" s="10" t="b">
        <v>0</v>
      </c>
    </row>
    <row r="493">
      <c r="A493" s="10" t="inlineStr">
        <is>
          <t>Halloween H20: 20 Years Later</t>
        </is>
      </c>
      <c r="B493" s="10" t="inlineStr">
        <is>
          <t>card_492</t>
        </is>
      </c>
      <c r="C493" s="10" t="inlineStr">
        <is>
          <t>Steve Miner</t>
        </is>
      </c>
      <c r="D493" s="10" t="n">
        <v>1998</v>
      </c>
      <c r="E493" s="10" t="n">
        <v>2.85</v>
      </c>
      <c r="F493" s="10" t="n">
        <v>68</v>
      </c>
      <c r="I493" s="10" t="n">
        <v>75000000</v>
      </c>
      <c r="J493" s="10" t="b">
        <v>0</v>
      </c>
      <c r="K493" s="10" t="n">
        <v>17000000</v>
      </c>
      <c r="L493" s="10" t="b">
        <v>0</v>
      </c>
      <c r="M493" s="10" t="n">
        <v>86</v>
      </c>
      <c r="N493" s="10" t="n">
        <v>0</v>
      </c>
      <c r="O493" s="10" t="n">
        <v>0</v>
      </c>
      <c r="P493" s="10" t="b">
        <v>0</v>
      </c>
    </row>
    <row r="494">
      <c r="A494" s="10" t="inlineStr">
        <is>
          <t>Halloween: Resurrection</t>
        </is>
      </c>
      <c r="B494" s="10" t="inlineStr">
        <is>
          <t>card_493</t>
        </is>
      </c>
      <c r="C494" s="10" t="inlineStr">
        <is>
          <t>Rick Rosenthal</t>
        </is>
      </c>
      <c r="D494" s="10" t="n">
        <v>2002</v>
      </c>
      <c r="E494" s="10" t="n">
        <v>1.66</v>
      </c>
      <c r="F494" s="10" t="n">
        <v>35</v>
      </c>
      <c r="I494" s="10" t="n">
        <v>37600000</v>
      </c>
      <c r="J494" s="10" t="b">
        <v>0</v>
      </c>
      <c r="K494" s="10" t="n">
        <v>15000000</v>
      </c>
      <c r="L494" s="10" t="b">
        <v>0</v>
      </c>
      <c r="M494" s="10" t="n">
        <v>90</v>
      </c>
      <c r="N494" s="10" t="n">
        <v>0</v>
      </c>
      <c r="O494" s="10" t="n">
        <v>0</v>
      </c>
      <c r="P494" s="10" t="b">
        <v>0</v>
      </c>
    </row>
    <row r="495">
      <c r="A495" s="10" t="inlineStr">
        <is>
          <t>Halloween (2007)</t>
        </is>
      </c>
      <c r="B495" s="10" t="inlineStr">
        <is>
          <t>card_494</t>
        </is>
      </c>
      <c r="C495" s="10" t="inlineStr">
        <is>
          <t>Rob Zombie</t>
        </is>
      </c>
      <c r="D495" s="10" t="n">
        <v>2007</v>
      </c>
      <c r="E495" s="10" t="n">
        <v>2.81</v>
      </c>
      <c r="F495" s="10" t="n">
        <v>54</v>
      </c>
      <c r="I495" s="10" t="n">
        <v>80400000</v>
      </c>
      <c r="J495" s="10" t="b">
        <v>0</v>
      </c>
      <c r="K495" s="10" t="n">
        <v>15000000</v>
      </c>
      <c r="L495" s="10" t="b">
        <v>0</v>
      </c>
      <c r="M495" s="10" t="n">
        <v>110</v>
      </c>
      <c r="N495" s="10" t="n">
        <v>0</v>
      </c>
      <c r="O495" s="10" t="n">
        <v>0</v>
      </c>
      <c r="P495" s="10" t="b">
        <v>0</v>
      </c>
    </row>
    <row r="496">
      <c r="A496" s="10" t="inlineStr">
        <is>
          <t>Halloween II (2009)</t>
        </is>
      </c>
      <c r="B496" s="10" t="inlineStr">
        <is>
          <t>card_495</t>
        </is>
      </c>
      <c r="C496" s="10" t="inlineStr">
        <is>
          <t>Rob Zombie</t>
        </is>
      </c>
      <c r="D496" s="10" t="n">
        <v>2009</v>
      </c>
      <c r="E496" s="10" t="n">
        <v>2.35</v>
      </c>
      <c r="F496" s="10" t="n">
        <v>40</v>
      </c>
      <c r="I496" s="10" t="n">
        <v>39400000</v>
      </c>
      <c r="J496" s="10" t="b">
        <v>0</v>
      </c>
      <c r="K496" s="10" t="n">
        <v>15000000</v>
      </c>
      <c r="L496" s="10" t="b">
        <v>0</v>
      </c>
      <c r="M496" s="10" t="n">
        <v>105</v>
      </c>
      <c r="N496" s="10" t="n">
        <v>0</v>
      </c>
      <c r="O496" s="10" t="n">
        <v>0</v>
      </c>
      <c r="P496" s="10" t="b">
        <v>0</v>
      </c>
    </row>
    <row r="497">
      <c r="A497" s="10" t="inlineStr">
        <is>
          <t>Halloween (2018)</t>
        </is>
      </c>
      <c r="B497" s="10" t="inlineStr">
        <is>
          <t>card_496</t>
        </is>
      </c>
      <c r="C497" s="10" t="inlineStr">
        <is>
          <t>David Gordon Green</t>
        </is>
      </c>
      <c r="D497" s="10" t="n">
        <v>2018</v>
      </c>
      <c r="E497" s="10" t="n">
        <v>3.22</v>
      </c>
      <c r="F497" s="10" t="n">
        <v>70</v>
      </c>
      <c r="I497" s="10" t="n">
        <v>259900000</v>
      </c>
      <c r="J497" s="10" t="b">
        <v>0</v>
      </c>
      <c r="K497" s="10" t="n">
        <v>10000000</v>
      </c>
      <c r="L497" s="10" t="b">
        <v>0</v>
      </c>
      <c r="M497" s="10" t="n">
        <v>106</v>
      </c>
      <c r="N497" s="10" t="n">
        <v>0</v>
      </c>
      <c r="O497" s="10" t="n">
        <v>0</v>
      </c>
      <c r="P497" s="10" t="b">
        <v>0</v>
      </c>
    </row>
    <row r="498">
      <c r="A498" s="10" t="inlineStr">
        <is>
          <t>Halloween Kills</t>
        </is>
      </c>
      <c r="B498" s="10" t="inlineStr">
        <is>
          <t>card_497</t>
        </is>
      </c>
      <c r="C498" s="10" t="inlineStr">
        <is>
          <t>David Gordon Green</t>
        </is>
      </c>
      <c r="D498" s="10" t="n">
        <v>2021</v>
      </c>
      <c r="E498" s="10" t="n">
        <v>2.56</v>
      </c>
      <c r="F498" s="10" t="n">
        <v>57</v>
      </c>
      <c r="I498" s="10" t="n">
        <v>133400000</v>
      </c>
      <c r="J498" s="10" t="b">
        <v>0</v>
      </c>
      <c r="K498" s="10" t="n">
        <v>20000000</v>
      </c>
      <c r="L498" s="10" t="b">
        <v>0</v>
      </c>
      <c r="M498" s="10" t="n">
        <v>105</v>
      </c>
      <c r="N498" s="10" t="n">
        <v>0</v>
      </c>
      <c r="O498" s="10" t="n">
        <v>0</v>
      </c>
      <c r="P498" s="10" t="b">
        <v>0</v>
      </c>
    </row>
    <row r="499">
      <c r="A499" s="10" t="inlineStr">
        <is>
          <t>Halloween Ends</t>
        </is>
      </c>
      <c r="B499" s="10" t="inlineStr">
        <is>
          <t>card_498</t>
        </is>
      </c>
      <c r="C499" s="10" t="inlineStr">
        <is>
          <t>David Gordon Green</t>
        </is>
      </c>
      <c r="D499" s="10" t="n">
        <v>2022</v>
      </c>
      <c r="E499" s="10" t="n">
        <v>2.16</v>
      </c>
      <c r="F499" s="10" t="n">
        <v>45</v>
      </c>
      <c r="I499" s="10" t="n">
        <v>105400000</v>
      </c>
      <c r="J499" s="10" t="b">
        <v>0</v>
      </c>
      <c r="K499" s="10" t="n">
        <v>33000000</v>
      </c>
      <c r="L499" s="10" t="b">
        <v>0</v>
      </c>
      <c r="M499" s="10" t="n">
        <v>111</v>
      </c>
      <c r="N499" s="10" t="n">
        <v>0</v>
      </c>
      <c r="O499" s="10" t="n">
        <v>0</v>
      </c>
      <c r="P499" s="10" t="b">
        <v>0</v>
      </c>
    </row>
    <row r="500">
      <c r="A500" s="10" t="inlineStr">
        <is>
          <t>Star Trek: The Motion Picture</t>
        </is>
      </c>
      <c r="B500" s="10" t="inlineStr">
        <is>
          <t>card_499</t>
        </is>
      </c>
      <c r="C500" s="10" t="inlineStr">
        <is>
          <t>Robert Wise</t>
        </is>
      </c>
      <c r="D500" s="10" t="n">
        <v>1979</v>
      </c>
      <c r="E500" s="10" t="n">
        <v>3.22</v>
      </c>
      <c r="F500" s="10" t="n">
        <v>67</v>
      </c>
      <c r="I500" s="10" t="n">
        <v>139000000</v>
      </c>
      <c r="J500" s="10" t="b">
        <v>0</v>
      </c>
      <c r="K500" s="10" t="n">
        <v>44000000</v>
      </c>
      <c r="L500" s="10" t="b">
        <v>0</v>
      </c>
      <c r="M500" s="10" t="n">
        <v>132</v>
      </c>
      <c r="N500" s="10" t="n">
        <v>0</v>
      </c>
      <c r="O500" s="10" t="n">
        <v>2</v>
      </c>
      <c r="P500" s="10" t="b">
        <v>0</v>
      </c>
    </row>
    <row r="501">
      <c r="A501" s="10" t="inlineStr">
        <is>
          <t>Star Trek III: The Search for Spock</t>
        </is>
      </c>
      <c r="B501" s="10" t="inlineStr">
        <is>
          <t>card_500</t>
        </is>
      </c>
      <c r="C501" s="10" t="inlineStr">
        <is>
          <t>Leonard Nimoy</t>
        </is>
      </c>
      <c r="D501" s="10" t="n">
        <v>1984</v>
      </c>
      <c r="E501" s="10" t="n">
        <v>3.29</v>
      </c>
      <c r="F501" s="10" t="n">
        <v>68</v>
      </c>
      <c r="I501" s="10" t="n">
        <v>87000000</v>
      </c>
      <c r="J501" s="10" t="b">
        <v>0</v>
      </c>
      <c r="K501" s="10" t="n">
        <v>16000000</v>
      </c>
      <c r="L501" s="10" t="b">
        <v>0</v>
      </c>
      <c r="M501" s="10" t="n">
        <v>105</v>
      </c>
      <c r="N501" s="10" t="n">
        <v>0</v>
      </c>
      <c r="O501" s="10" t="n">
        <v>0</v>
      </c>
      <c r="P501" s="10" t="b">
        <v>0</v>
      </c>
    </row>
    <row r="502">
      <c r="A502" s="10" t="inlineStr">
        <is>
          <t>Star Trek IV: The Voyage Home</t>
        </is>
      </c>
      <c r="B502" s="10" t="inlineStr">
        <is>
          <t>card_501</t>
        </is>
      </c>
      <c r="C502" s="10" t="inlineStr">
        <is>
          <t>Leonard Nimoy</t>
        </is>
      </c>
      <c r="D502" s="10" t="n">
        <v>1986</v>
      </c>
      <c r="E502" s="10" t="n">
        <v>3.74</v>
      </c>
      <c r="F502" s="10" t="n">
        <v>80</v>
      </c>
      <c r="I502" s="10" t="n">
        <v>133000000</v>
      </c>
      <c r="J502" s="10" t="b">
        <v>0</v>
      </c>
      <c r="K502" s="10" t="n">
        <v>21000000</v>
      </c>
      <c r="L502" s="10" t="b">
        <v>0</v>
      </c>
      <c r="M502" s="10" t="n">
        <v>122</v>
      </c>
      <c r="N502" s="10" t="n">
        <v>0</v>
      </c>
      <c r="O502" s="10" t="n">
        <v>0</v>
      </c>
      <c r="P502" s="10" t="b">
        <v>0</v>
      </c>
    </row>
    <row r="503">
      <c r="A503" s="10" t="inlineStr">
        <is>
          <t>Star Trek V: The Final Frontier</t>
        </is>
      </c>
      <c r="B503" s="10" t="inlineStr">
        <is>
          <t>card_502</t>
        </is>
      </c>
      <c r="C503" s="10" t="inlineStr">
        <is>
          <t>William Shatner</t>
        </is>
      </c>
      <c r="D503" s="10" t="n">
        <v>1989</v>
      </c>
      <c r="E503" s="10" t="n">
        <v>2.61</v>
      </c>
      <c r="F503" s="10" t="n">
        <v>56</v>
      </c>
      <c r="I503" s="10" t="n">
        <v>63000000</v>
      </c>
      <c r="J503" s="10" t="b">
        <v>0</v>
      </c>
      <c r="K503" s="10" t="n">
        <v>33000000</v>
      </c>
      <c r="L503" s="10" t="b">
        <v>0</v>
      </c>
      <c r="M503" s="10" t="n">
        <v>106</v>
      </c>
      <c r="N503" s="10" t="n">
        <v>0</v>
      </c>
      <c r="O503" s="10" t="n">
        <v>0</v>
      </c>
      <c r="P503" s="10" t="b">
        <v>0</v>
      </c>
    </row>
    <row r="504">
      <c r="A504" s="10" t="inlineStr">
        <is>
          <t>Star Trek VI: The Undiscovered Country</t>
        </is>
      </c>
      <c r="B504" s="10" t="inlineStr">
        <is>
          <t>card_503</t>
        </is>
      </c>
      <c r="C504" s="10" t="inlineStr">
        <is>
          <t>Nicholas Meyer</t>
        </is>
      </c>
      <c r="D504" s="10" t="n">
        <v>1991</v>
      </c>
      <c r="E504" s="10" t="n">
        <v>3.64</v>
      </c>
      <c r="F504" s="10" t="n">
        <v>83</v>
      </c>
      <c r="I504" s="10" t="n">
        <v>96800000</v>
      </c>
      <c r="J504" s="10" t="b">
        <v>0</v>
      </c>
      <c r="K504" s="10" t="n">
        <v>30000000</v>
      </c>
      <c r="L504" s="10" t="b">
        <v>0</v>
      </c>
      <c r="M504" s="10" t="n">
        <v>110</v>
      </c>
      <c r="N504" s="10" t="n">
        <v>0</v>
      </c>
      <c r="O504" s="10" t="n">
        <v>0</v>
      </c>
      <c r="P504" s="10" t="b">
        <v>0</v>
      </c>
    </row>
    <row r="505">
      <c r="A505" s="10" t="inlineStr">
        <is>
          <t>Star Trek Generations</t>
        </is>
      </c>
      <c r="B505" s="10" t="inlineStr">
        <is>
          <t>card_504</t>
        </is>
      </c>
      <c r="C505" s="10" t="inlineStr">
        <is>
          <t>David Carson</t>
        </is>
      </c>
      <c r="D505" s="10" t="n">
        <v>1994</v>
      </c>
      <c r="E505" s="10" t="n">
        <v>3.05</v>
      </c>
      <c r="F505" s="10" t="n">
        <v>65</v>
      </c>
      <c r="I505" s="10" t="n">
        <v>118000000</v>
      </c>
      <c r="J505" s="10" t="b">
        <v>0</v>
      </c>
      <c r="K505" s="10" t="n">
        <v>35000000</v>
      </c>
      <c r="L505" s="10" t="b">
        <v>0</v>
      </c>
      <c r="M505" s="10" t="n">
        <v>118</v>
      </c>
      <c r="N505" s="10" t="n">
        <v>0</v>
      </c>
      <c r="O505" s="10" t="n">
        <v>0</v>
      </c>
      <c r="P505" s="10" t="b">
        <v>0</v>
      </c>
    </row>
    <row r="506">
      <c r="A506" s="10" t="inlineStr">
        <is>
          <t>Star Trek: First Contact</t>
        </is>
      </c>
      <c r="B506" s="10" t="inlineStr">
        <is>
          <t>card_505</t>
        </is>
      </c>
      <c r="C506" s="10" t="inlineStr">
        <is>
          <t>Jonathan Frakes</t>
        </is>
      </c>
      <c r="D506" s="10" t="n">
        <v>1996</v>
      </c>
      <c r="E506" s="10" t="n">
        <v>3.69</v>
      </c>
      <c r="F506" s="10" t="n">
        <v>81</v>
      </c>
      <c r="I506" s="10" t="n">
        <v>146000000</v>
      </c>
      <c r="J506" s="10" t="b">
        <v>0</v>
      </c>
      <c r="K506" s="10" t="n">
        <v>45000000</v>
      </c>
      <c r="L506" s="10" t="b">
        <v>0</v>
      </c>
      <c r="M506" s="10" t="n">
        <v>111</v>
      </c>
      <c r="N506" s="10" t="n">
        <v>0</v>
      </c>
      <c r="O506" s="10" t="n">
        <v>0</v>
      </c>
      <c r="P506" s="10" t="b">
        <v>0</v>
      </c>
    </row>
    <row r="507">
      <c r="A507" s="10" t="inlineStr">
        <is>
          <t>Star Trek: Insurrection</t>
        </is>
      </c>
      <c r="B507" s="10" t="inlineStr">
        <is>
          <t>card_506</t>
        </is>
      </c>
      <c r="C507" s="10" t="inlineStr">
        <is>
          <t>Jonathan Frakes</t>
        </is>
      </c>
      <c r="D507" s="10" t="n">
        <v>1998</v>
      </c>
      <c r="E507" s="10" t="n">
        <v>2.84</v>
      </c>
      <c r="F507" s="10" t="n">
        <v>60</v>
      </c>
      <c r="I507" s="10" t="n">
        <v>118000000</v>
      </c>
      <c r="J507" s="10" t="b">
        <v>0</v>
      </c>
      <c r="K507" s="10" t="n">
        <v>70000000</v>
      </c>
      <c r="L507" s="10" t="b">
        <v>0</v>
      </c>
      <c r="M507" s="10" t="n">
        <v>103</v>
      </c>
      <c r="N507" s="10" t="n">
        <v>0</v>
      </c>
      <c r="O507" s="10" t="n">
        <v>0</v>
      </c>
      <c r="P507" s="10" t="b">
        <v>0</v>
      </c>
    </row>
    <row r="508">
      <c r="A508" s="10" t="inlineStr">
        <is>
          <t>Star Trek: Nemesis</t>
        </is>
      </c>
      <c r="B508" s="10" t="inlineStr">
        <is>
          <t>card_507</t>
        </is>
      </c>
      <c r="C508" s="10" t="inlineStr">
        <is>
          <t>Stuart Baird</t>
        </is>
      </c>
      <c r="D508" s="10" t="n">
        <v>2002</v>
      </c>
      <c r="E508" s="10" t="n">
        <v>2.7</v>
      </c>
      <c r="F508" s="10" t="n">
        <v>57</v>
      </c>
      <c r="I508" s="10" t="n">
        <v>67300000</v>
      </c>
      <c r="J508" s="10" t="b">
        <v>0</v>
      </c>
      <c r="K508" s="10" t="n">
        <v>60000000</v>
      </c>
      <c r="L508" s="10" t="b">
        <v>0</v>
      </c>
      <c r="M508" s="10" t="n">
        <v>117</v>
      </c>
      <c r="N508" s="10" t="n">
        <v>0</v>
      </c>
      <c r="O508" s="10" t="n">
        <v>0</v>
      </c>
      <c r="P508" s="10" t="b">
        <v>0</v>
      </c>
    </row>
    <row r="509">
      <c r="A509" s="10" t="inlineStr">
        <is>
          <t>Star Trek</t>
        </is>
      </c>
      <c r="B509" s="10" t="inlineStr">
        <is>
          <t>card_508</t>
        </is>
      </c>
      <c r="C509" s="10" t="inlineStr">
        <is>
          <t>J.J. Abrams</t>
        </is>
      </c>
      <c r="D509" s="10" t="n">
        <v>2009</v>
      </c>
      <c r="E509" s="10" t="n">
        <v>3.65</v>
      </c>
      <c r="F509" s="10" t="n">
        <v>77</v>
      </c>
      <c r="I509" s="10" t="n">
        <v>385700000</v>
      </c>
      <c r="J509" s="10" t="b">
        <v>0</v>
      </c>
      <c r="K509" s="10" t="n">
        <v>150000000</v>
      </c>
      <c r="L509" s="10" t="b">
        <v>0</v>
      </c>
      <c r="M509" s="10" t="n">
        <v>127</v>
      </c>
      <c r="N509" s="10" t="n">
        <v>1</v>
      </c>
      <c r="O509" s="10" t="n">
        <v>0</v>
      </c>
      <c r="P509" s="10" t="b">
        <v>0</v>
      </c>
    </row>
    <row r="510">
      <c r="A510" s="10" t="inlineStr">
        <is>
          <t>Star Trek Into Darkness</t>
        </is>
      </c>
      <c r="B510" s="10" t="inlineStr">
        <is>
          <t>card_509</t>
        </is>
      </c>
      <c r="C510" s="10" t="inlineStr">
        <is>
          <t>J.J. Abrams</t>
        </is>
      </c>
      <c r="D510" s="10" t="n">
        <v>2013</v>
      </c>
      <c r="E510" s="10" t="n">
        <v>3.4</v>
      </c>
      <c r="F510" s="10" t="n">
        <v>76</v>
      </c>
      <c r="I510" s="10" t="n">
        <v>467400000</v>
      </c>
      <c r="J510" s="10" t="b">
        <v>0</v>
      </c>
      <c r="K510" s="10" t="n">
        <v>190000000</v>
      </c>
      <c r="L510" s="10" t="b">
        <v>0</v>
      </c>
      <c r="M510" s="10" t="n">
        <v>132</v>
      </c>
      <c r="N510" s="10" t="n">
        <v>0</v>
      </c>
      <c r="O510" s="10" t="n">
        <v>0</v>
      </c>
      <c r="P510" s="10" t="b">
        <v>0</v>
      </c>
    </row>
    <row r="511">
      <c r="A511" s="10" t="inlineStr">
        <is>
          <t>Star Trek Beyond</t>
        </is>
      </c>
      <c r="B511" s="10" t="inlineStr">
        <is>
          <t>card_510</t>
        </is>
      </c>
      <c r="C511" s="10" t="inlineStr">
        <is>
          <t>Justin Lin</t>
        </is>
      </c>
      <c r="D511" s="10" t="n">
        <v>2016</v>
      </c>
      <c r="E511" s="10" t="n">
        <v>3.28</v>
      </c>
      <c r="F511" s="10" t="n">
        <v>66</v>
      </c>
      <c r="I511" s="10" t="n">
        <v>343500000</v>
      </c>
      <c r="J511" s="10" t="b">
        <v>0</v>
      </c>
      <c r="K511" s="10" t="n">
        <v>185000000</v>
      </c>
      <c r="L511" s="10" t="b">
        <v>0</v>
      </c>
      <c r="M511" s="10" t="n">
        <v>122</v>
      </c>
      <c r="N511" s="10" t="n">
        <v>0</v>
      </c>
      <c r="O511" s="10" t="n">
        <v>0</v>
      </c>
      <c r="P511" s="10" t="b">
        <v>0</v>
      </c>
    </row>
    <row r="512">
      <c r="A512" s="10" t="inlineStr">
        <is>
          <t>Godzilla</t>
        </is>
      </c>
      <c r="B512" s="10" t="inlineStr">
        <is>
          <t>card_511</t>
        </is>
      </c>
      <c r="C512" s="10" t="inlineStr">
        <is>
          <t>Ishiro Honda</t>
        </is>
      </c>
      <c r="D512" s="10" t="n">
        <v>1954</v>
      </c>
      <c r="E512" s="10" t="n">
        <v>4.07</v>
      </c>
      <c r="F512" s="10" t="n">
        <v>83</v>
      </c>
      <c r="I512" s="10" t="n">
        <v>2250000</v>
      </c>
      <c r="J512" s="10" t="b">
        <v>0</v>
      </c>
      <c r="K512" s="10" t="n">
        <v>900000</v>
      </c>
      <c r="L512" s="10" t="b">
        <v>0</v>
      </c>
      <c r="M512" s="10" t="n">
        <v>96</v>
      </c>
      <c r="N512" s="10" t="n">
        <v>0</v>
      </c>
      <c r="O512" s="10" t="n">
        <v>0</v>
      </c>
      <c r="P512" s="10" t="b">
        <v>0</v>
      </c>
    </row>
    <row r="513">
      <c r="A513" s="10" t="inlineStr">
        <is>
          <t>Mothra vs. Godzilla</t>
        </is>
      </c>
      <c r="B513" s="10" t="inlineStr">
        <is>
          <t>card_512</t>
        </is>
      </c>
      <c r="C513" s="10" t="inlineStr">
        <is>
          <t>Ishiro Honda</t>
        </is>
      </c>
      <c r="D513" s="10" t="n">
        <v>1964</v>
      </c>
      <c r="E513" s="10" t="n">
        <v>3.46</v>
      </c>
      <c r="I513" s="10" t="n">
        <v>3500000</v>
      </c>
      <c r="J513" s="10" t="b">
        <v>1</v>
      </c>
      <c r="K513" s="10" t="n">
        <v>400000</v>
      </c>
      <c r="L513" s="10" t="b">
        <v>1</v>
      </c>
      <c r="M513" s="10" t="n">
        <v>88</v>
      </c>
      <c r="N513" s="10" t="n">
        <v>0</v>
      </c>
      <c r="O513" s="10" t="n">
        <v>0</v>
      </c>
      <c r="P513" s="10" t="b">
        <v>0</v>
      </c>
    </row>
    <row r="514">
      <c r="A514" s="10" t="inlineStr">
        <is>
          <t>Ghidorah, the Three-Headed Monster</t>
        </is>
      </c>
      <c r="B514" s="10" t="inlineStr">
        <is>
          <t>card_513</t>
        </is>
      </c>
      <c r="C514" s="10" t="inlineStr">
        <is>
          <t>Ishiro Honda</t>
        </is>
      </c>
      <c r="D514" s="10" t="n">
        <v>1964</v>
      </c>
      <c r="E514" s="10" t="n">
        <v>3.39</v>
      </c>
      <c r="I514" s="10" t="n">
        <v>2300000</v>
      </c>
      <c r="J514" s="10" t="b">
        <v>0</v>
      </c>
      <c r="K514" s="10" t="n">
        <v>370000</v>
      </c>
      <c r="L514" s="10" t="b">
        <v>0</v>
      </c>
      <c r="M514" s="10" t="n">
        <v>93</v>
      </c>
      <c r="N514" s="10" t="n">
        <v>0</v>
      </c>
      <c r="O514" s="10" t="n">
        <v>0</v>
      </c>
      <c r="P514" s="10" t="b">
        <v>0</v>
      </c>
    </row>
    <row r="515">
      <c r="A515" s="10" t="inlineStr">
        <is>
          <t>Godzilla vs. Mechagodzilla</t>
        </is>
      </c>
      <c r="B515" s="10" t="inlineStr">
        <is>
          <t>card_514</t>
        </is>
      </c>
      <c r="C515" s="10" t="inlineStr">
        <is>
          <t>Jun Fukuda</t>
        </is>
      </c>
      <c r="D515" s="10" t="n">
        <v>1974</v>
      </c>
      <c r="E515" s="10" t="n">
        <v>3.3</v>
      </c>
      <c r="I515" s="10" t="n">
        <v>17100000</v>
      </c>
      <c r="J515" s="10" t="b">
        <v>0</v>
      </c>
      <c r="K515" s="10" t="n">
        <v>380000</v>
      </c>
      <c r="L515" s="10" t="b">
        <v>0</v>
      </c>
      <c r="M515" s="10" t="n">
        <v>84</v>
      </c>
      <c r="N515" s="10" t="n">
        <v>0</v>
      </c>
      <c r="O515" s="10" t="n">
        <v>0</v>
      </c>
      <c r="P515" s="10" t="b">
        <v>0</v>
      </c>
    </row>
    <row r="516">
      <c r="A516" s="10" t="inlineStr">
        <is>
          <t>The Return of Godzilla</t>
        </is>
      </c>
      <c r="B516" s="10" t="inlineStr">
        <is>
          <t>card_515</t>
        </is>
      </c>
      <c r="C516" s="10" t="inlineStr">
        <is>
          <t>Koji Hashimoto</t>
        </is>
      </c>
      <c r="D516" s="10" t="n">
        <v>1984</v>
      </c>
      <c r="E516" s="10" t="n">
        <v>3.47</v>
      </c>
      <c r="I516" s="10" t="n">
        <v>14000000</v>
      </c>
      <c r="J516" s="10" t="b">
        <v>0</v>
      </c>
      <c r="K516" s="10" t="n">
        <v>6250000</v>
      </c>
      <c r="L516" s="10" t="b">
        <v>0</v>
      </c>
      <c r="M516" s="10" t="n">
        <v>103</v>
      </c>
      <c r="N516" s="10" t="n">
        <v>0</v>
      </c>
      <c r="O516" s="10" t="n">
        <v>0</v>
      </c>
      <c r="P516" s="10" t="b">
        <v>0</v>
      </c>
    </row>
    <row r="517">
      <c r="A517" s="10" t="inlineStr">
        <is>
          <t>Godzilla (1998)</t>
        </is>
      </c>
      <c r="B517" s="10" t="inlineStr">
        <is>
          <t>card_516</t>
        </is>
      </c>
      <c r="C517" s="10" t="inlineStr">
        <is>
          <t>Roland Emmerich</t>
        </is>
      </c>
      <c r="D517" s="10" t="n">
        <v>1998</v>
      </c>
      <c r="E517" s="10" t="n">
        <v>2.31</v>
      </c>
      <c r="F517" s="10" t="n">
        <v>50</v>
      </c>
      <c r="I517" s="10" t="n">
        <v>379000000</v>
      </c>
      <c r="J517" s="10" t="b">
        <v>0</v>
      </c>
      <c r="K517" s="10" t="n">
        <v>140000000</v>
      </c>
      <c r="L517" s="10" t="b">
        <v>0</v>
      </c>
      <c r="M517" s="10" t="n">
        <v>139</v>
      </c>
      <c r="N517" s="10" t="n">
        <v>0</v>
      </c>
      <c r="O517" s="10" t="n">
        <v>0</v>
      </c>
      <c r="P517" s="10" t="b">
        <v>0</v>
      </c>
    </row>
    <row r="518">
      <c r="A518" s="10" t="inlineStr">
        <is>
          <t>Shin Godzilla</t>
        </is>
      </c>
      <c r="B518" s="10" t="inlineStr">
        <is>
          <t>card_517</t>
        </is>
      </c>
      <c r="C518" s="10" t="inlineStr">
        <is>
          <t>Hideaki Anno and Shinji Higuchi</t>
        </is>
      </c>
      <c r="D518" s="10" t="n">
        <v>2016</v>
      </c>
      <c r="E518" s="10" t="n">
        <v>3.89</v>
      </c>
      <c r="F518" s="10" t="n">
        <v>74</v>
      </c>
      <c r="I518" s="10" t="n">
        <v>83300000</v>
      </c>
      <c r="J518" s="10" t="b">
        <v>0</v>
      </c>
      <c r="K518" s="10" t="n">
        <v>12600000</v>
      </c>
      <c r="L518" s="10" t="b">
        <v>0</v>
      </c>
      <c r="M518" s="10" t="n">
        <v>120</v>
      </c>
      <c r="N518" s="10" t="n">
        <v>0</v>
      </c>
      <c r="O518" s="10" t="n">
        <v>0</v>
      </c>
      <c r="P518" s="10" t="b">
        <v>0</v>
      </c>
    </row>
    <row r="519">
      <c r="A519" s="10" t="inlineStr">
        <is>
          <t>Godzilla (2014)</t>
        </is>
      </c>
      <c r="B519" s="10" t="inlineStr">
        <is>
          <t>card_518</t>
        </is>
      </c>
      <c r="C519" s="10" t="inlineStr">
        <is>
          <t>Gareth Edwards</t>
        </is>
      </c>
      <c r="D519" s="10" t="n">
        <v>2014</v>
      </c>
      <c r="E519" s="10" t="n">
        <v>3.14</v>
      </c>
      <c r="F519" s="10" t="n">
        <v>69</v>
      </c>
      <c r="I519" s="10" t="n">
        <v>529100000</v>
      </c>
      <c r="J519" s="10" t="b">
        <v>0</v>
      </c>
      <c r="K519" s="10" t="n">
        <v>160000000</v>
      </c>
      <c r="L519" s="10" t="b">
        <v>0</v>
      </c>
      <c r="M519" s="10" t="n">
        <v>123</v>
      </c>
      <c r="N519" s="10" t="n">
        <v>0</v>
      </c>
      <c r="O519" s="10" t="n">
        <v>0</v>
      </c>
      <c r="P519" s="10" t="b">
        <v>0</v>
      </c>
    </row>
    <row r="520">
      <c r="A520" s="10" t="inlineStr">
        <is>
          <t>Godzilla: King of the Monsters</t>
        </is>
      </c>
      <c r="B520" s="10" t="inlineStr">
        <is>
          <t>card_519</t>
        </is>
      </c>
      <c r="C520" s="10" t="inlineStr">
        <is>
          <t>Michael Dougherty</t>
        </is>
      </c>
      <c r="D520" s="10" t="n">
        <v>2019</v>
      </c>
      <c r="E520" s="10" t="n">
        <v>2.93</v>
      </c>
      <c r="F520" s="10" t="n">
        <v>70</v>
      </c>
      <c r="I520" s="10" t="n">
        <v>387300000</v>
      </c>
      <c r="J520" s="10" t="b">
        <v>0</v>
      </c>
      <c r="K520" s="10" t="n">
        <v>185000000</v>
      </c>
      <c r="L520" s="10" t="b">
        <v>0</v>
      </c>
      <c r="M520" s="10" t="n">
        <v>131</v>
      </c>
      <c r="N520" s="10" t="n">
        <v>0</v>
      </c>
      <c r="O520" s="10" t="n">
        <v>0</v>
      </c>
      <c r="P520" s="10" t="b">
        <v>0</v>
      </c>
    </row>
    <row r="521">
      <c r="A521" s="10" t="inlineStr">
        <is>
          <t>Godzilla vs. Kong</t>
        </is>
      </c>
      <c r="B521" s="10" t="inlineStr">
        <is>
          <t>card_520</t>
        </is>
      </c>
      <c r="C521" s="10" t="inlineStr">
        <is>
          <t>Adam Wingard</t>
        </is>
      </c>
      <c r="D521" s="10" t="n">
        <v>2021</v>
      </c>
      <c r="E521" s="10" t="n">
        <v>2.84</v>
      </c>
      <c r="F521" s="10" t="n">
        <v>68</v>
      </c>
      <c r="I521" s="10" t="n">
        <v>470000000</v>
      </c>
      <c r="J521" s="10" t="b">
        <v>0</v>
      </c>
      <c r="K521" s="10" t="n">
        <v>155000000</v>
      </c>
      <c r="L521" s="10" t="b">
        <v>0</v>
      </c>
      <c r="M521" s="10" t="n">
        <v>113</v>
      </c>
      <c r="N521" s="10" t="n">
        <v>0</v>
      </c>
      <c r="O521" s="10" t="n">
        <v>0</v>
      </c>
      <c r="P521" s="10" t="b">
        <v>0</v>
      </c>
    </row>
    <row r="522">
      <c r="A522" s="10" t="inlineStr">
        <is>
          <t>Godzilla x Kong: The New Empire</t>
        </is>
      </c>
      <c r="B522" s="10" t="inlineStr">
        <is>
          <t>card_521</t>
        </is>
      </c>
      <c r="C522" s="10" t="inlineStr">
        <is>
          <t>Adam Wingard</t>
        </is>
      </c>
      <c r="D522" s="10" t="n">
        <v>2024</v>
      </c>
      <c r="E522" s="10" t="n">
        <v>2.72</v>
      </c>
      <c r="F522" s="10" t="n">
        <v>70</v>
      </c>
      <c r="I522" s="10" t="n">
        <v>572500000</v>
      </c>
      <c r="J522" s="10" t="b">
        <v>0</v>
      </c>
      <c r="K522" s="10" t="n">
        <v>135000000</v>
      </c>
      <c r="L522" s="10" t="b">
        <v>0</v>
      </c>
      <c r="M522" s="10" t="n">
        <v>115</v>
      </c>
      <c r="N522" s="10" t="n">
        <v>0</v>
      </c>
      <c r="O522" s="10" t="n">
        <v>0</v>
      </c>
      <c r="P522" s="10" t="b">
        <v>0</v>
      </c>
    </row>
    <row r="523">
      <c r="A523" s="10" t="inlineStr">
        <is>
          <t>Dr. No</t>
        </is>
      </c>
      <c r="B523" s="10" t="inlineStr">
        <is>
          <t>card_522</t>
        </is>
      </c>
      <c r="C523" s="10" t="inlineStr">
        <is>
          <t>Terence Young</t>
        </is>
      </c>
      <c r="D523" s="10" t="n">
        <v>1962</v>
      </c>
      <c r="E523" s="10" t="n">
        <v>3.41</v>
      </c>
      <c r="F523" s="10" t="n">
        <v>74</v>
      </c>
      <c r="I523" s="10" t="n">
        <v>59500000</v>
      </c>
      <c r="J523" s="10" t="b">
        <v>0</v>
      </c>
      <c r="K523" s="10" t="n">
        <v>1100000</v>
      </c>
      <c r="L523" s="10" t="b">
        <v>0</v>
      </c>
      <c r="M523" s="10" t="n">
        <v>110</v>
      </c>
      <c r="N523" s="10" t="n">
        <v>0</v>
      </c>
      <c r="O523" s="10" t="n">
        <v>0</v>
      </c>
      <c r="P523" s="10" t="b">
        <v>0</v>
      </c>
    </row>
    <row r="524">
      <c r="A524" s="10" t="inlineStr">
        <is>
          <t>From Russia with Love</t>
        </is>
      </c>
      <c r="B524" s="10" t="inlineStr">
        <is>
          <t>card_523</t>
        </is>
      </c>
      <c r="C524" s="10" t="inlineStr">
        <is>
          <t>Terence Young</t>
        </is>
      </c>
      <c r="D524" s="10" t="n">
        <v>1963</v>
      </c>
      <c r="E524" s="10" t="n">
        <v>3.59</v>
      </c>
      <c r="F524" s="10" t="n">
        <v>78</v>
      </c>
      <c r="I524" s="10" t="n">
        <v>79000000</v>
      </c>
      <c r="J524" s="10" t="b">
        <v>0</v>
      </c>
      <c r="K524" s="10" t="n">
        <v>2000000</v>
      </c>
      <c r="L524" s="10" t="b">
        <v>0</v>
      </c>
      <c r="M524" s="10" t="n">
        <v>115</v>
      </c>
      <c r="N524" s="10" t="n">
        <v>0</v>
      </c>
      <c r="O524" s="10" t="n">
        <v>0</v>
      </c>
      <c r="P524" s="10" t="b">
        <v>0</v>
      </c>
    </row>
    <row r="525">
      <c r="A525" s="10" t="inlineStr">
        <is>
          <t>Goldfinger</t>
        </is>
      </c>
      <c r="B525" s="10" t="inlineStr">
        <is>
          <t>card_524</t>
        </is>
      </c>
      <c r="C525" s="10" t="inlineStr">
        <is>
          <t>Guy Hamilton</t>
        </is>
      </c>
      <c r="D525" s="10" t="n">
        <v>1964</v>
      </c>
      <c r="E525" s="10" t="n">
        <v>3.77</v>
      </c>
      <c r="F525" s="10" t="n">
        <v>80</v>
      </c>
      <c r="I525" s="10" t="n">
        <v>124900000</v>
      </c>
      <c r="J525" s="10" t="b">
        <v>0</v>
      </c>
      <c r="K525" s="10" t="n">
        <v>3000000</v>
      </c>
      <c r="L525" s="10" t="b">
        <v>0</v>
      </c>
      <c r="M525" s="10" t="n">
        <v>110</v>
      </c>
      <c r="N525" s="10" t="n">
        <v>1</v>
      </c>
      <c r="O525" s="10" t="n">
        <v>0</v>
      </c>
      <c r="P525" s="10" t="b">
        <v>0</v>
      </c>
    </row>
    <row r="526">
      <c r="A526" s="10" t="inlineStr">
        <is>
          <t>Thunderball</t>
        </is>
      </c>
      <c r="B526" s="10" t="inlineStr">
        <is>
          <t>card_525</t>
        </is>
      </c>
      <c r="C526" s="10" t="inlineStr">
        <is>
          <t>Terence Young</t>
        </is>
      </c>
      <c r="D526" s="10" t="n">
        <v>1965</v>
      </c>
      <c r="E526" s="10" t="n">
        <v>3.21</v>
      </c>
      <c r="F526" s="10" t="n">
        <v>67</v>
      </c>
      <c r="I526" s="10" t="n">
        <v>141200000</v>
      </c>
      <c r="J526" s="10" t="b">
        <v>0</v>
      </c>
      <c r="K526" s="10" t="n">
        <v>9000000</v>
      </c>
      <c r="L526" s="10" t="b">
        <v>0</v>
      </c>
      <c r="M526" s="10" t="n">
        <v>130</v>
      </c>
      <c r="N526" s="10" t="n">
        <v>1</v>
      </c>
      <c r="O526" s="10" t="n">
        <v>0</v>
      </c>
      <c r="P526" s="10" t="b">
        <v>0</v>
      </c>
    </row>
    <row r="527">
      <c r="A527" s="10" t="inlineStr">
        <is>
          <t>You Only Live Twice</t>
        </is>
      </c>
      <c r="B527" s="10" t="inlineStr">
        <is>
          <t>card_526</t>
        </is>
      </c>
      <c r="C527" s="10" t="inlineStr">
        <is>
          <t>Lewis Gilbert</t>
        </is>
      </c>
      <c r="D527" s="10" t="n">
        <v>1967</v>
      </c>
      <c r="E527" s="10" t="n">
        <v>3.19</v>
      </c>
      <c r="F527" s="10" t="n">
        <v>68</v>
      </c>
      <c r="I527" s="10" t="n">
        <v>111600000</v>
      </c>
      <c r="J527" s="10" t="b">
        <v>0</v>
      </c>
      <c r="K527" s="10" t="n">
        <v>9500000</v>
      </c>
      <c r="L527" s="10" t="b">
        <v>0</v>
      </c>
      <c r="M527" s="10" t="n">
        <v>117</v>
      </c>
      <c r="N527" s="10" t="n">
        <v>0</v>
      </c>
      <c r="O527" s="10" t="n">
        <v>0</v>
      </c>
      <c r="P527" s="10" t="b">
        <v>0</v>
      </c>
    </row>
    <row r="528">
      <c r="A528" s="10" t="inlineStr">
        <is>
          <t>On Her Majesty's Secret Service</t>
        </is>
      </c>
      <c r="B528" s="10" t="inlineStr">
        <is>
          <t>card_527</t>
        </is>
      </c>
      <c r="C528" s="10" t="inlineStr">
        <is>
          <t>Peter R. Hunt</t>
        </is>
      </c>
      <c r="D528" s="10" t="n">
        <v>1969</v>
      </c>
      <c r="E528" s="10" t="n">
        <v>3.44</v>
      </c>
      <c r="F528" s="10" t="n">
        <v>72</v>
      </c>
      <c r="I528" s="10" t="n">
        <v>82000000</v>
      </c>
      <c r="J528" s="10" t="b">
        <v>0</v>
      </c>
      <c r="K528" s="10" t="n">
        <v>7000000</v>
      </c>
      <c r="L528" s="10" t="b">
        <v>0</v>
      </c>
      <c r="M528" s="10" t="n">
        <v>142</v>
      </c>
      <c r="N528" s="10" t="n">
        <v>0</v>
      </c>
      <c r="O528" s="10" t="n">
        <v>0</v>
      </c>
      <c r="P528" s="10" t="b">
        <v>0</v>
      </c>
    </row>
    <row r="529">
      <c r="A529" s="10" t="inlineStr">
        <is>
          <t>Diamonds Are Forever</t>
        </is>
      </c>
      <c r="B529" s="10" t="inlineStr">
        <is>
          <t>card_528</t>
        </is>
      </c>
      <c r="C529" s="10" t="inlineStr">
        <is>
          <t>Guy Hamilton</t>
        </is>
      </c>
      <c r="D529" s="10" t="n">
        <v>1971</v>
      </c>
      <c r="E529" s="10" t="n">
        <v>2.86</v>
      </c>
      <c r="F529" s="10" t="n">
        <v>57</v>
      </c>
      <c r="I529" s="10" t="n">
        <v>116000000</v>
      </c>
      <c r="J529" s="10" t="b">
        <v>0</v>
      </c>
      <c r="K529" s="10" t="n">
        <v>7200000</v>
      </c>
      <c r="L529" s="10" t="b">
        <v>0</v>
      </c>
      <c r="M529" s="10" t="n">
        <v>120</v>
      </c>
      <c r="N529" s="10" t="n">
        <v>0</v>
      </c>
      <c r="O529" s="10" t="n">
        <v>0</v>
      </c>
      <c r="P529" s="10" t="b">
        <v>0</v>
      </c>
    </row>
    <row r="530">
      <c r="A530" s="10" t="inlineStr">
        <is>
          <t>Live and Let Die</t>
        </is>
      </c>
      <c r="B530" s="10" t="inlineStr">
        <is>
          <t>card_529</t>
        </is>
      </c>
      <c r="C530" s="10" t="inlineStr">
        <is>
          <t>Guy Hamilton</t>
        </is>
      </c>
      <c r="D530" s="10" t="n">
        <v>1973</v>
      </c>
      <c r="E530" s="10" t="n">
        <v>3.17</v>
      </c>
      <c r="F530" s="10" t="n">
        <v>62</v>
      </c>
      <c r="I530" s="10" t="n">
        <v>161800000</v>
      </c>
      <c r="J530" s="10" t="b">
        <v>0</v>
      </c>
      <c r="K530" s="10" t="n">
        <v>7000000</v>
      </c>
      <c r="L530" s="10" t="b">
        <v>0</v>
      </c>
      <c r="M530" s="10" t="n">
        <v>121</v>
      </c>
      <c r="N530" s="10" t="n">
        <v>0</v>
      </c>
      <c r="O530" s="10" t="n">
        <v>0</v>
      </c>
      <c r="P530" s="10" t="b">
        <v>0</v>
      </c>
    </row>
    <row r="531">
      <c r="A531" s="10" t="inlineStr">
        <is>
          <t>The Man with the Golden Gun</t>
        </is>
      </c>
      <c r="B531" s="10" t="inlineStr">
        <is>
          <t>card_530</t>
        </is>
      </c>
      <c r="C531" s="10" t="inlineStr">
        <is>
          <t>Guy Hamilton</t>
        </is>
      </c>
      <c r="D531" s="10" t="n">
        <v>1974</v>
      </c>
      <c r="E531" s="10" t="n">
        <v>3.12</v>
      </c>
      <c r="F531" s="10" t="n">
        <v>60</v>
      </c>
      <c r="I531" s="10" t="n">
        <v>97600000</v>
      </c>
      <c r="J531" s="10" t="b">
        <v>0</v>
      </c>
      <c r="K531" s="10" t="n">
        <v>7000000</v>
      </c>
      <c r="L531" s="10" t="b">
        <v>0</v>
      </c>
      <c r="M531" s="10" t="n">
        <v>125</v>
      </c>
      <c r="N531" s="10" t="n">
        <v>0</v>
      </c>
      <c r="O531" s="10" t="n">
        <v>0</v>
      </c>
      <c r="P531" s="10" t="b">
        <v>0</v>
      </c>
    </row>
    <row r="532">
      <c r="A532" s="10" t="inlineStr">
        <is>
          <t>The Spy Who Loved Me</t>
        </is>
      </c>
      <c r="B532" s="10" t="inlineStr">
        <is>
          <t>card_531</t>
        </is>
      </c>
      <c r="C532" s="10" t="inlineStr">
        <is>
          <t>Lewis Gilbert</t>
        </is>
      </c>
      <c r="D532" s="10" t="n">
        <v>1977</v>
      </c>
      <c r="E532" s="10" t="n">
        <v>3.49</v>
      </c>
      <c r="F532" s="10" t="n">
        <v>69</v>
      </c>
      <c r="I532" s="10" t="n">
        <v>185400000</v>
      </c>
      <c r="J532" s="10" t="b">
        <v>0</v>
      </c>
      <c r="K532" s="10" t="n">
        <v>13500000</v>
      </c>
      <c r="L532" s="10" t="b">
        <v>0</v>
      </c>
      <c r="M532" s="10" t="n">
        <v>125</v>
      </c>
      <c r="N532" s="10" t="n">
        <v>0</v>
      </c>
      <c r="O532" s="10" t="n">
        <v>0</v>
      </c>
      <c r="P532" s="10" t="b">
        <v>0</v>
      </c>
    </row>
    <row r="533">
      <c r="A533" s="10" t="inlineStr">
        <is>
          <t>Moonraker</t>
        </is>
      </c>
      <c r="B533" s="10" t="inlineStr">
        <is>
          <t>card_532</t>
        </is>
      </c>
      <c r="C533" s="10" t="inlineStr">
        <is>
          <t>Lewis Gilbert</t>
        </is>
      </c>
      <c r="D533" s="10" t="n">
        <v>1979</v>
      </c>
      <c r="E533" s="10" t="n">
        <v>2.87</v>
      </c>
      <c r="F533" s="10" t="n">
        <v>60</v>
      </c>
      <c r="I533" s="10" t="n">
        <v>210300000</v>
      </c>
      <c r="J533" s="10" t="b">
        <v>0</v>
      </c>
      <c r="K533" s="10" t="n">
        <v>34000000</v>
      </c>
      <c r="L533" s="10" t="b">
        <v>0</v>
      </c>
      <c r="M533" s="10" t="n">
        <v>126</v>
      </c>
      <c r="N533" s="10" t="n">
        <v>0</v>
      </c>
      <c r="O533" s="10" t="n">
        <v>0</v>
      </c>
      <c r="P533" s="10" t="b">
        <v>0</v>
      </c>
    </row>
    <row r="534">
      <c r="A534" s="10" t="inlineStr">
        <is>
          <t>For Your Eyes Only</t>
        </is>
      </c>
      <c r="B534" s="10" t="inlineStr">
        <is>
          <t>card_533</t>
        </is>
      </c>
      <c r="C534" s="10" t="inlineStr">
        <is>
          <t>John Glen</t>
        </is>
      </c>
      <c r="D534" s="10" t="n">
        <v>1981</v>
      </c>
      <c r="E534" s="10" t="n">
        <v>3.1</v>
      </c>
      <c r="F534" s="10" t="n">
        <v>65</v>
      </c>
      <c r="I534" s="10" t="n">
        <v>202800000</v>
      </c>
      <c r="J534" s="10" t="b">
        <v>0</v>
      </c>
      <c r="K534" s="10" t="n">
        <v>28000000</v>
      </c>
      <c r="L534" s="10" t="b">
        <v>0</v>
      </c>
      <c r="M534" s="10" t="n">
        <v>127</v>
      </c>
      <c r="N534" s="10" t="n">
        <v>0</v>
      </c>
      <c r="O534" s="10" t="n">
        <v>0</v>
      </c>
      <c r="P534" s="10" t="b">
        <v>0</v>
      </c>
    </row>
    <row r="535">
      <c r="A535" s="10" t="inlineStr">
        <is>
          <t>Octopussy</t>
        </is>
      </c>
      <c r="B535" s="10" t="inlineStr">
        <is>
          <t>card_534</t>
        </is>
      </c>
      <c r="C535" s="10" t="inlineStr">
        <is>
          <t>John Glen</t>
        </is>
      </c>
      <c r="D535" s="10" t="n">
        <v>1983</v>
      </c>
      <c r="E535" s="10" t="n">
        <v>2.91</v>
      </c>
      <c r="F535" s="10" t="n">
        <v>63</v>
      </c>
      <c r="I535" s="10" t="n">
        <v>187500000</v>
      </c>
      <c r="J535" s="10" t="b">
        <v>0</v>
      </c>
      <c r="K535" s="10" t="n">
        <v>27500000</v>
      </c>
      <c r="L535" s="10" t="b">
        <v>0</v>
      </c>
      <c r="M535" s="10" t="n">
        <v>131</v>
      </c>
      <c r="N535" s="10" t="n">
        <v>0</v>
      </c>
      <c r="O535" s="10" t="n">
        <v>0</v>
      </c>
      <c r="P535" s="10" t="b">
        <v>0</v>
      </c>
    </row>
    <row r="536">
      <c r="A536" s="10" t="inlineStr">
        <is>
          <t>A View to a Kill</t>
        </is>
      </c>
      <c r="B536" s="10" t="inlineStr">
        <is>
          <t>card_535</t>
        </is>
      </c>
      <c r="C536" s="10" t="inlineStr">
        <is>
          <t>John Glen</t>
        </is>
      </c>
      <c r="D536" s="10" t="n">
        <v>1985</v>
      </c>
      <c r="E536" s="10" t="n">
        <v>2.89</v>
      </c>
      <c r="F536" s="10" t="n">
        <v>57</v>
      </c>
      <c r="I536" s="10" t="n">
        <v>152400000</v>
      </c>
      <c r="J536" s="10" t="b">
        <v>0</v>
      </c>
      <c r="K536" s="10" t="n">
        <v>30000000</v>
      </c>
      <c r="L536" s="10" t="b">
        <v>0</v>
      </c>
      <c r="M536" s="10" t="n">
        <v>131</v>
      </c>
      <c r="N536" s="10" t="n">
        <v>0</v>
      </c>
      <c r="O536" s="10" t="n">
        <v>0</v>
      </c>
      <c r="P536" s="10" t="b">
        <v>0</v>
      </c>
    </row>
    <row r="537">
      <c r="A537" s="10" t="inlineStr">
        <is>
          <t>The Living Daylights</t>
        </is>
      </c>
      <c r="B537" s="10" t="inlineStr">
        <is>
          <t>card_536</t>
        </is>
      </c>
      <c r="C537" s="10" t="inlineStr">
        <is>
          <t>John Glen</t>
        </is>
      </c>
      <c r="D537" s="10" t="n">
        <v>1987</v>
      </c>
      <c r="E537" s="10" t="n">
        <v>3.35</v>
      </c>
      <c r="F537" s="10" t="n">
        <v>69</v>
      </c>
      <c r="I537" s="10" t="n">
        <v>191200000</v>
      </c>
      <c r="J537" s="10" t="b">
        <v>0</v>
      </c>
      <c r="K537" s="10" t="n">
        <v>40000000</v>
      </c>
      <c r="L537" s="10" t="b">
        <v>0</v>
      </c>
      <c r="M537" s="10" t="n">
        <v>131</v>
      </c>
      <c r="N537" s="10" t="n">
        <v>0</v>
      </c>
      <c r="O537" s="10" t="n">
        <v>0</v>
      </c>
      <c r="P537" s="10" t="b">
        <v>0</v>
      </c>
    </row>
    <row r="538">
      <c r="A538" s="10" t="inlineStr">
        <is>
          <t>Licence to Kill</t>
        </is>
      </c>
      <c r="B538" s="10" t="inlineStr">
        <is>
          <t>card_537</t>
        </is>
      </c>
      <c r="C538" s="10" t="inlineStr">
        <is>
          <t>John Glen</t>
        </is>
      </c>
      <c r="D538" s="10" t="n">
        <v>1989</v>
      </c>
      <c r="E538" s="10" t="n">
        <v>3.38</v>
      </c>
      <c r="F538" s="10" t="n">
        <v>68</v>
      </c>
      <c r="I538" s="10" t="n">
        <v>156100000</v>
      </c>
      <c r="J538" s="10" t="b">
        <v>0</v>
      </c>
      <c r="K538" s="10" t="n">
        <v>32000000</v>
      </c>
      <c r="L538" s="10" t="b">
        <v>0</v>
      </c>
      <c r="M538" s="10" t="n">
        <v>133</v>
      </c>
      <c r="N538" s="10" t="n">
        <v>0</v>
      </c>
      <c r="O538" s="10" t="n">
        <v>0</v>
      </c>
      <c r="P538" s="10" t="b">
        <v>0</v>
      </c>
    </row>
    <row r="539">
      <c r="A539" s="10" t="inlineStr">
        <is>
          <t>GoldenEye</t>
        </is>
      </c>
      <c r="B539" s="10" t="inlineStr">
        <is>
          <t>card_538</t>
        </is>
      </c>
      <c r="C539" s="10" t="inlineStr">
        <is>
          <t>Martin Campbell</t>
        </is>
      </c>
      <c r="D539" s="10" t="n">
        <v>1995</v>
      </c>
      <c r="E539" s="10" t="n">
        <v>3.58</v>
      </c>
      <c r="F539" s="10" t="n">
        <v>77</v>
      </c>
      <c r="I539" s="10" t="n">
        <v>356400000</v>
      </c>
      <c r="J539" s="10" t="b">
        <v>0</v>
      </c>
      <c r="K539" s="10" t="n">
        <v>60000000</v>
      </c>
      <c r="L539" s="10" t="b">
        <v>0</v>
      </c>
      <c r="M539" s="10" t="n">
        <v>130</v>
      </c>
      <c r="N539" s="10" t="n">
        <v>0</v>
      </c>
      <c r="O539" s="10" t="n">
        <v>0</v>
      </c>
      <c r="P539" s="10" t="b">
        <v>0</v>
      </c>
    </row>
    <row r="540">
      <c r="A540" s="10" t="inlineStr">
        <is>
          <t>Tomorrow Never Dies</t>
        </is>
      </c>
      <c r="B540" s="10" t="inlineStr">
        <is>
          <t>card_539</t>
        </is>
      </c>
      <c r="C540" s="10" t="inlineStr">
        <is>
          <t>Roger Spottiswoode</t>
        </is>
      </c>
      <c r="D540" s="10" t="n">
        <v>1997</v>
      </c>
      <c r="E540" s="10" t="n">
        <v>3.11</v>
      </c>
      <c r="F540" s="10" t="n">
        <v>67</v>
      </c>
      <c r="I540" s="10" t="n">
        <v>339500000</v>
      </c>
      <c r="J540" s="10" t="b">
        <v>0</v>
      </c>
      <c r="K540" s="10" t="n">
        <v>110000000</v>
      </c>
      <c r="L540" s="10" t="b">
        <v>0</v>
      </c>
      <c r="M540" s="10" t="n">
        <v>119</v>
      </c>
      <c r="N540" s="10" t="n">
        <v>0</v>
      </c>
      <c r="O540" s="10" t="n">
        <v>0</v>
      </c>
      <c r="P540" s="10" t="b">
        <v>0</v>
      </c>
    </row>
    <row r="541">
      <c r="A541" s="10" t="inlineStr">
        <is>
          <t>The World Is Not Enough</t>
        </is>
      </c>
      <c r="B541" s="10" t="inlineStr">
        <is>
          <t>card_540</t>
        </is>
      </c>
      <c r="C541" s="10" t="inlineStr">
        <is>
          <t>Michael Apted</t>
        </is>
      </c>
      <c r="D541" s="10" t="n">
        <v>1999</v>
      </c>
      <c r="E541" s="10" t="n">
        <v>2.94</v>
      </c>
      <c r="F541" s="10" t="n">
        <v>62</v>
      </c>
      <c r="I541" s="10" t="n">
        <v>361000000</v>
      </c>
      <c r="J541" s="10" t="b">
        <v>0</v>
      </c>
      <c r="K541" s="10" t="n">
        <v>135000000</v>
      </c>
      <c r="L541" s="10" t="b">
        <v>0</v>
      </c>
      <c r="M541" s="10" t="n">
        <v>128</v>
      </c>
      <c r="N541" s="10" t="n">
        <v>0</v>
      </c>
      <c r="O541" s="10" t="n">
        <v>0</v>
      </c>
      <c r="P541" s="10" t="b">
        <v>0</v>
      </c>
    </row>
    <row r="542">
      <c r="A542" s="10" t="inlineStr">
        <is>
          <t>Die Another Day</t>
        </is>
      </c>
      <c r="B542" s="10" t="inlineStr">
        <is>
          <t>card_541</t>
        </is>
      </c>
      <c r="C542" s="10" t="inlineStr">
        <is>
          <t>Lee Tamahori</t>
        </is>
      </c>
      <c r="D542" s="10" t="n">
        <v>2002</v>
      </c>
      <c r="E542" s="10" t="n">
        <v>2.59</v>
      </c>
      <c r="F542" s="10" t="n">
        <v>55</v>
      </c>
      <c r="I542" s="10" t="n">
        <v>432000000</v>
      </c>
      <c r="J542" s="10" t="b">
        <v>0</v>
      </c>
      <c r="K542" s="10" t="n">
        <v>142000000</v>
      </c>
      <c r="L542" s="10" t="b">
        <v>0</v>
      </c>
      <c r="M542" s="10" t="n">
        <v>133</v>
      </c>
      <c r="N542" s="10" t="n">
        <v>0</v>
      </c>
      <c r="O542" s="10" t="n">
        <v>0</v>
      </c>
      <c r="P542" s="10" t="b">
        <v>0</v>
      </c>
    </row>
    <row r="543">
      <c r="A543" s="10" t="inlineStr">
        <is>
          <t>Casino Royale</t>
        </is>
      </c>
      <c r="B543" s="10" t="inlineStr">
        <is>
          <t>card_542</t>
        </is>
      </c>
      <c r="C543" s="10" t="inlineStr">
        <is>
          <t>Martin Campbell</t>
        </is>
      </c>
      <c r="D543" s="10" t="n">
        <v>2006</v>
      </c>
      <c r="E543" s="10" t="n">
        <v>4.04</v>
      </c>
      <c r="F543" s="10" t="n">
        <v>84</v>
      </c>
      <c r="I543" s="10" t="n">
        <v>606000000</v>
      </c>
      <c r="J543" s="10" t="b">
        <v>0</v>
      </c>
      <c r="K543" s="10" t="n">
        <v>150000000</v>
      </c>
      <c r="L543" s="10" t="b">
        <v>0</v>
      </c>
      <c r="M543" s="10" t="n">
        <v>144</v>
      </c>
      <c r="N543" s="10" t="n">
        <v>0</v>
      </c>
      <c r="O543" s="10" t="n">
        <v>0</v>
      </c>
      <c r="P543" s="10" t="b">
        <v>0</v>
      </c>
    </row>
    <row r="544">
      <c r="A544" s="10" t="inlineStr">
        <is>
          <t>Quantum of Solace</t>
        </is>
      </c>
      <c r="B544" s="10" t="inlineStr">
        <is>
          <t>card_543</t>
        </is>
      </c>
      <c r="C544" s="10" t="inlineStr">
        <is>
          <t>Marc Forster</t>
        </is>
      </c>
      <c r="D544" s="10" t="n">
        <v>2008</v>
      </c>
      <c r="E544" s="10" t="n">
        <v>2.88</v>
      </c>
      <c r="F544" s="10" t="n">
        <v>62</v>
      </c>
      <c r="I544" s="10" t="n">
        <v>589600000</v>
      </c>
      <c r="J544" s="10" t="b">
        <v>0</v>
      </c>
      <c r="K544" s="10" t="n">
        <v>230000000</v>
      </c>
      <c r="L544" s="10" t="b">
        <v>0</v>
      </c>
      <c r="M544" s="10" t="n">
        <v>106</v>
      </c>
      <c r="N544" s="10" t="n">
        <v>0</v>
      </c>
      <c r="O544" s="10" t="n">
        <v>0</v>
      </c>
      <c r="P544" s="10" t="b">
        <v>0</v>
      </c>
    </row>
    <row r="545">
      <c r="A545" s="10" t="inlineStr">
        <is>
          <t>Skyfall</t>
        </is>
      </c>
      <c r="B545" s="10" t="inlineStr">
        <is>
          <t>card_544</t>
        </is>
      </c>
      <c r="C545" s="10" t="inlineStr">
        <is>
          <t>Sam Mendes</t>
        </is>
      </c>
      <c r="D545" s="10" t="n">
        <v>2012</v>
      </c>
      <c r="E545" s="10" t="n">
        <v>3.96</v>
      </c>
      <c r="F545" s="10" t="n">
        <v>76</v>
      </c>
      <c r="I545" s="10" t="n">
        <v>1109000000</v>
      </c>
      <c r="J545" s="10" t="b">
        <v>0</v>
      </c>
      <c r="K545" s="10" t="n">
        <v>200000000</v>
      </c>
      <c r="L545" s="10" t="b">
        <v>0</v>
      </c>
      <c r="M545" s="10" t="n">
        <v>143</v>
      </c>
      <c r="N545" s="10" t="n">
        <v>2</v>
      </c>
      <c r="O545" s="10" t="n">
        <v>0</v>
      </c>
      <c r="P545" s="10" t="b">
        <v>0</v>
      </c>
    </row>
    <row r="546">
      <c r="A546" s="10" t="inlineStr">
        <is>
          <t>Spectre</t>
        </is>
      </c>
      <c r="B546" s="10" t="inlineStr">
        <is>
          <t>card_545</t>
        </is>
      </c>
      <c r="C546" s="10" t="inlineStr">
        <is>
          <t>Sam Mendes</t>
        </is>
      </c>
      <c r="D546" s="10" t="n">
        <v>2015</v>
      </c>
      <c r="E546" s="10" t="n">
        <v>3.16</v>
      </c>
      <c r="F546" s="10" t="n">
        <v>65</v>
      </c>
      <c r="I546" s="10" t="n">
        <v>880700000</v>
      </c>
      <c r="J546" s="10" t="b">
        <v>0</v>
      </c>
      <c r="K546" s="10" t="n">
        <v>300000000</v>
      </c>
      <c r="L546" s="10" t="b">
        <v>0</v>
      </c>
      <c r="M546" s="10" t="n">
        <v>148</v>
      </c>
      <c r="N546" s="10" t="n">
        <v>1</v>
      </c>
      <c r="O546" s="10" t="n">
        <v>0</v>
      </c>
      <c r="P546" s="10" t="b">
        <v>0</v>
      </c>
    </row>
    <row r="547">
      <c r="A547" s="10" t="inlineStr">
        <is>
          <t>No Time to Die</t>
        </is>
      </c>
      <c r="B547" s="10" t="inlineStr">
        <is>
          <t>card_546</t>
        </is>
      </c>
      <c r="C547" s="10" t="inlineStr">
        <is>
          <t>Cary Joji Fukunaga</t>
        </is>
      </c>
      <c r="D547" s="10" t="n">
        <v>2021</v>
      </c>
      <c r="E547" s="10" t="n">
        <v>3.56</v>
      </c>
      <c r="F547" s="10" t="n">
        <v>63</v>
      </c>
      <c r="I547" s="10" t="n">
        <v>774200000</v>
      </c>
      <c r="J547" s="10" t="b">
        <v>0</v>
      </c>
      <c r="K547" s="10" t="n">
        <v>301000000</v>
      </c>
      <c r="L547" s="10" t="b">
        <v>0</v>
      </c>
      <c r="M547" s="10" t="n">
        <v>163</v>
      </c>
      <c r="N547" s="10" t="n">
        <v>1</v>
      </c>
      <c r="O547" s="10" t="n">
        <v>0</v>
      </c>
      <c r="P547" s="10" t="b">
        <v>0</v>
      </c>
    </row>
    <row r="548">
      <c r="A548" s="10" t="inlineStr">
        <is>
          <t>Batman</t>
        </is>
      </c>
      <c r="B548" s="10" t="inlineStr">
        <is>
          <t>card_547</t>
        </is>
      </c>
      <c r="C548" s="10" t="inlineStr">
        <is>
          <t>Tim Burton</t>
        </is>
      </c>
      <c r="D548" s="10" t="n">
        <v>1989</v>
      </c>
      <c r="E548" s="10" t="n">
        <v>3.64</v>
      </c>
      <c r="F548" s="10" t="n">
        <v>78</v>
      </c>
      <c r="I548" s="10" t="n">
        <v>411600000</v>
      </c>
      <c r="J548" s="10" t="b">
        <v>0</v>
      </c>
      <c r="K548" s="10" t="n">
        <v>48000000</v>
      </c>
      <c r="L548" s="10" t="b">
        <v>0</v>
      </c>
      <c r="M548" s="10" t="n">
        <v>126</v>
      </c>
      <c r="N548" s="10" t="n">
        <v>1</v>
      </c>
      <c r="O548" s="10" t="n">
        <v>0</v>
      </c>
      <c r="P548" s="10" t="b">
        <v>0</v>
      </c>
    </row>
    <row r="549">
      <c r="A549" s="10" t="inlineStr">
        <is>
          <t>Batman Returns</t>
        </is>
      </c>
      <c r="B549" s="10" t="inlineStr">
        <is>
          <t>card_548</t>
        </is>
      </c>
      <c r="C549" s="10" t="inlineStr">
        <is>
          <t>Tim Burton</t>
        </is>
      </c>
      <c r="D549" s="10" t="n">
        <v>1992</v>
      </c>
      <c r="E549" s="10" t="n">
        <v>3.6</v>
      </c>
      <c r="F549" s="10" t="n">
        <v>77</v>
      </c>
      <c r="I549" s="10" t="n">
        <v>266800000</v>
      </c>
      <c r="J549" s="10" t="b">
        <v>0</v>
      </c>
      <c r="K549" s="10" t="n">
        <v>55000000</v>
      </c>
      <c r="L549" s="10" t="b">
        <v>0</v>
      </c>
      <c r="M549" s="10" t="n">
        <v>126</v>
      </c>
      <c r="N549" s="10" t="n">
        <v>0</v>
      </c>
      <c r="O549" s="10" t="n">
        <v>0</v>
      </c>
      <c r="P549" s="10" t="b">
        <v>0</v>
      </c>
    </row>
    <row r="550">
      <c r="A550" s="10" t="inlineStr">
        <is>
          <t>Batman Forever</t>
        </is>
      </c>
      <c r="B550" s="10" t="inlineStr">
        <is>
          <t>card_549</t>
        </is>
      </c>
      <c r="C550" s="10" t="inlineStr">
        <is>
          <t>Joel Schumacher</t>
        </is>
      </c>
      <c r="D550" s="10" t="n">
        <v>1995</v>
      </c>
      <c r="E550" s="10" t="n">
        <v>2.58</v>
      </c>
      <c r="F550" s="10" t="n">
        <v>53</v>
      </c>
      <c r="I550" s="10" t="n">
        <v>336600000</v>
      </c>
      <c r="J550" s="10" t="b">
        <v>0</v>
      </c>
      <c r="K550" s="10" t="n">
        <v>100000000</v>
      </c>
      <c r="L550" s="10" t="b">
        <v>0</v>
      </c>
      <c r="M550" s="10" t="n">
        <v>121</v>
      </c>
      <c r="N550" s="10" t="n">
        <v>0</v>
      </c>
      <c r="O550" s="10" t="n">
        <v>0</v>
      </c>
      <c r="P550" s="10" t="b">
        <v>0</v>
      </c>
    </row>
    <row r="551">
      <c r="A551" s="10" t="inlineStr">
        <is>
          <t>Batman &amp; Robin</t>
        </is>
      </c>
      <c r="B551" s="10" t="inlineStr">
        <is>
          <t>card_550</t>
        </is>
      </c>
      <c r="C551" s="10" t="inlineStr">
        <is>
          <t>Joel Schumacher</t>
        </is>
      </c>
      <c r="D551" s="10" t="n">
        <v>1997</v>
      </c>
      <c r="E551" s="10" t="n">
        <v>1.96</v>
      </c>
      <c r="F551" s="10" t="n">
        <v>30</v>
      </c>
      <c r="I551" s="10" t="n">
        <v>238300000</v>
      </c>
      <c r="J551" s="10" t="b">
        <v>0</v>
      </c>
      <c r="K551" s="10" t="n">
        <v>160000000</v>
      </c>
      <c r="L551" s="10" t="b">
        <v>0</v>
      </c>
      <c r="M551" s="10" t="n">
        <v>125</v>
      </c>
      <c r="N551" s="10" t="n">
        <v>0</v>
      </c>
      <c r="O551" s="10" t="n">
        <v>0</v>
      </c>
      <c r="P551" s="10" t="b">
        <v>0</v>
      </c>
    </row>
    <row r="552">
      <c r="A552" s="10" t="inlineStr">
        <is>
          <t>Batman v Superman: Dawn of Justice</t>
        </is>
      </c>
      <c r="B552" s="10" t="inlineStr">
        <is>
          <t>card_551</t>
        </is>
      </c>
      <c r="C552" s="10" t="inlineStr">
        <is>
          <t>Zack Snyder</t>
        </is>
      </c>
      <c r="D552" s="10" t="n">
        <v>2016</v>
      </c>
      <c r="E552" s="10" t="n">
        <v>2.5</v>
      </c>
      <c r="F552" s="10" t="n">
        <v>69</v>
      </c>
      <c r="I552" s="10" t="n">
        <v>874400000</v>
      </c>
      <c r="J552" s="10" t="b">
        <v>0</v>
      </c>
      <c r="K552" s="10" t="n">
        <v>300000000</v>
      </c>
      <c r="L552" s="10" t="b">
        <v>0</v>
      </c>
      <c r="M552" s="10" t="n">
        <v>151</v>
      </c>
      <c r="N552" s="10" t="n">
        <v>0</v>
      </c>
      <c r="O552" s="10" t="n">
        <v>0</v>
      </c>
      <c r="P552" s="10" t="b">
        <v>0</v>
      </c>
    </row>
    <row r="553">
      <c r="A553" s="10" t="inlineStr">
        <is>
          <t>The Batman</t>
        </is>
      </c>
      <c r="B553" s="10" t="inlineStr">
        <is>
          <t>card_552</t>
        </is>
      </c>
      <c r="C553" s="10" t="inlineStr">
        <is>
          <t>Matt Reeves</t>
        </is>
      </c>
      <c r="D553" s="10" t="n">
        <v>2022</v>
      </c>
      <c r="E553" s="10" t="n">
        <v>4.05</v>
      </c>
      <c r="F553" s="10" t="n">
        <v>79</v>
      </c>
      <c r="I553" s="10" t="n">
        <v>772300000</v>
      </c>
      <c r="J553" s="10" t="b">
        <v>0</v>
      </c>
      <c r="K553" s="10" t="n">
        <v>200000000</v>
      </c>
      <c r="L553" s="10" t="b">
        <v>0</v>
      </c>
      <c r="M553" s="10" t="n">
        <v>176</v>
      </c>
      <c r="N553" s="10" t="n">
        <v>0</v>
      </c>
      <c r="O553" s="10" t="n">
        <v>0</v>
      </c>
      <c r="P553" s="10" t="b">
        <v>0</v>
      </c>
    </row>
    <row r="554">
      <c r="A554" s="10" t="inlineStr">
        <is>
          <t>X-Men</t>
        </is>
      </c>
      <c r="B554" s="10" t="inlineStr">
        <is>
          <t>card_553</t>
        </is>
      </c>
      <c r="C554" s="10" t="inlineStr">
        <is>
          <t>Bryan Singer</t>
        </is>
      </c>
      <c r="D554" s="10" t="n">
        <v>2000</v>
      </c>
      <c r="E554" s="10" t="n">
        <v>3.35</v>
      </c>
      <c r="F554" s="10" t="n">
        <v>73</v>
      </c>
      <c r="I554" s="10" t="n">
        <v>296300000</v>
      </c>
      <c r="J554" s="10" t="b">
        <v>0</v>
      </c>
      <c r="K554" s="10" t="n">
        <v>75000000</v>
      </c>
      <c r="L554" s="10" t="b">
        <v>0</v>
      </c>
      <c r="M554" s="10" t="n">
        <v>104</v>
      </c>
      <c r="N554" s="10" t="n">
        <v>0</v>
      </c>
      <c r="O554" s="10" t="n">
        <v>0</v>
      </c>
      <c r="P554" s="10" t="b">
        <v>0</v>
      </c>
    </row>
    <row r="555">
      <c r="A555" s="10" t="inlineStr">
        <is>
          <t>X2</t>
        </is>
      </c>
      <c r="B555" s="10" t="inlineStr">
        <is>
          <t>card_554</t>
        </is>
      </c>
      <c r="C555" s="10" t="inlineStr">
        <is>
          <t>Bryan Singer</t>
        </is>
      </c>
      <c r="D555" s="10" t="n">
        <v>2003</v>
      </c>
      <c r="E555" s="10" t="n">
        <v>3.45</v>
      </c>
      <c r="F555" s="10" t="n">
        <v>78</v>
      </c>
      <c r="I555" s="10" t="n">
        <v>407700000</v>
      </c>
      <c r="J555" s="10" t="b">
        <v>0</v>
      </c>
      <c r="K555" s="10" t="n">
        <v>110000000</v>
      </c>
      <c r="L555" s="10" t="b">
        <v>0</v>
      </c>
      <c r="M555" s="10" t="n">
        <v>133</v>
      </c>
      <c r="N555" s="10" t="n">
        <v>0</v>
      </c>
      <c r="O555" s="10" t="n">
        <v>0</v>
      </c>
      <c r="P555" s="10" t="b">
        <v>0</v>
      </c>
    </row>
    <row r="556">
      <c r="A556" s="10" t="inlineStr">
        <is>
          <t>X-Men: The Last Stand</t>
        </is>
      </c>
      <c r="B556" s="10" t="inlineStr">
        <is>
          <t>card_555</t>
        </is>
      </c>
      <c r="C556" s="10" t="inlineStr">
        <is>
          <t>Brett Ratner</t>
        </is>
      </c>
      <c r="D556" s="10" t="n">
        <v>2006</v>
      </c>
      <c r="E556" s="10" t="n">
        <v>2.73</v>
      </c>
      <c r="F556" s="10" t="n">
        <v>58</v>
      </c>
      <c r="I556" s="10" t="n">
        <v>460000000</v>
      </c>
      <c r="J556" s="10" t="b">
        <v>0</v>
      </c>
      <c r="K556" s="10" t="n">
        <v>210000000</v>
      </c>
      <c r="L556" s="10" t="b">
        <v>0</v>
      </c>
      <c r="M556" s="10" t="n">
        <v>104</v>
      </c>
      <c r="N556" s="10" t="n">
        <v>0</v>
      </c>
      <c r="O556" s="10" t="n">
        <v>0</v>
      </c>
      <c r="P556" s="10" t="b">
        <v>0</v>
      </c>
    </row>
    <row r="557">
      <c r="A557" s="10" t="inlineStr">
        <is>
          <t>X-Men Origins: Wolverine</t>
        </is>
      </c>
      <c r="B557" s="10" t="inlineStr">
        <is>
          <t>card_556</t>
        </is>
      </c>
      <c r="C557" s="10" t="inlineStr">
        <is>
          <t>Gavin Hood</t>
        </is>
      </c>
      <c r="D557" s="10" t="n">
        <v>2009</v>
      </c>
      <c r="E557" s="10" t="n">
        <v>2.6</v>
      </c>
      <c r="F557" s="10" t="n">
        <v>54</v>
      </c>
      <c r="I557" s="10" t="n">
        <v>373000000</v>
      </c>
      <c r="J557" s="10" t="b">
        <v>0</v>
      </c>
      <c r="K557" s="10" t="n">
        <v>150000000</v>
      </c>
      <c r="L557" s="10" t="b">
        <v>0</v>
      </c>
      <c r="M557" s="10" t="n">
        <v>107</v>
      </c>
      <c r="N557" s="10" t="n">
        <v>0</v>
      </c>
      <c r="O557" s="10" t="n">
        <v>0</v>
      </c>
      <c r="P557" s="10" t="b">
        <v>0</v>
      </c>
    </row>
    <row r="558">
      <c r="A558" s="10" t="inlineStr">
        <is>
          <t>X-Men: First Class</t>
        </is>
      </c>
      <c r="B558" s="10" t="inlineStr">
        <is>
          <t>card_557</t>
        </is>
      </c>
      <c r="C558" s="10" t="inlineStr">
        <is>
          <t>Matthew Vaughn</t>
        </is>
      </c>
      <c r="D558" s="10" t="n">
        <v>2011</v>
      </c>
      <c r="E558" s="10" t="n">
        <v>3.62</v>
      </c>
      <c r="F558" s="10" t="n">
        <v>78</v>
      </c>
      <c r="I558" s="10" t="n">
        <v>353000000</v>
      </c>
      <c r="J558" s="10" t="b">
        <v>0</v>
      </c>
      <c r="K558" s="10" t="n">
        <v>160000000</v>
      </c>
      <c r="L558" s="10" t="b">
        <v>0</v>
      </c>
      <c r="M558" s="10" t="n">
        <v>132</v>
      </c>
      <c r="N558" s="10" t="n">
        <v>0</v>
      </c>
      <c r="O558" s="10" t="n">
        <v>0</v>
      </c>
      <c r="P558" s="10" t="b">
        <v>0</v>
      </c>
    </row>
    <row r="559">
      <c r="A559" s="10" t="inlineStr">
        <is>
          <t>The Wolverine</t>
        </is>
      </c>
      <c r="B559" s="10" t="inlineStr">
        <is>
          <t>card_558</t>
        </is>
      </c>
      <c r="C559" s="10" t="inlineStr">
        <is>
          <t>James Mangold</t>
        </is>
      </c>
      <c r="D559" s="10" t="n">
        <v>2013</v>
      </c>
      <c r="E559" s="10" t="n">
        <v>3.04</v>
      </c>
      <c r="F559" s="10" t="n">
        <v>66</v>
      </c>
      <c r="I559" s="10" t="n">
        <v>414800000</v>
      </c>
      <c r="J559" s="10" t="b">
        <v>0</v>
      </c>
      <c r="K559" s="10" t="n">
        <v>120000000</v>
      </c>
      <c r="L559" s="10" t="b">
        <v>0</v>
      </c>
      <c r="M559" s="10" t="n">
        <v>126</v>
      </c>
      <c r="N559" s="10" t="n">
        <v>0</v>
      </c>
      <c r="O559" s="10" t="n">
        <v>0</v>
      </c>
      <c r="P559" s="10" t="b">
        <v>0</v>
      </c>
    </row>
    <row r="560">
      <c r="A560" s="10" t="inlineStr">
        <is>
          <t>X-Men: Days of Future Past</t>
        </is>
      </c>
      <c r="B560" s="10" t="inlineStr">
        <is>
          <t>card_559</t>
        </is>
      </c>
      <c r="C560" s="10" t="inlineStr">
        <is>
          <t>Bryan Singer</t>
        </is>
      </c>
      <c r="D560" s="10" t="n">
        <v>2014</v>
      </c>
      <c r="E560" s="10" t="n">
        <v>3.72</v>
      </c>
      <c r="F560" s="10" t="n">
        <v>81</v>
      </c>
      <c r="I560" s="10" t="n">
        <v>747900000</v>
      </c>
      <c r="J560" s="10" t="b">
        <v>0</v>
      </c>
      <c r="K560" s="10" t="n">
        <v>205000000</v>
      </c>
      <c r="L560" s="10" t="b">
        <v>0</v>
      </c>
      <c r="M560" s="10" t="n">
        <v>131</v>
      </c>
      <c r="N560" s="10" t="n">
        <v>0</v>
      </c>
      <c r="O560" s="10" t="n">
        <v>0</v>
      </c>
      <c r="P560" s="10" t="b">
        <v>0</v>
      </c>
    </row>
    <row r="561">
      <c r="A561" s="10" t="inlineStr">
        <is>
          <t>X-Men: Apocalypse</t>
        </is>
      </c>
      <c r="B561" s="10" t="inlineStr">
        <is>
          <t>card_560</t>
        </is>
      </c>
      <c r="C561" s="10" t="inlineStr">
        <is>
          <t>Bryan Singer</t>
        </is>
      </c>
      <c r="D561" s="10" t="n">
        <v>2016</v>
      </c>
      <c r="E561" s="10" t="n">
        <v>2.71</v>
      </c>
      <c r="F561" s="10" t="n">
        <v>63</v>
      </c>
      <c r="I561" s="10" t="n">
        <v>544000000</v>
      </c>
      <c r="J561" s="10" t="b">
        <v>0</v>
      </c>
      <c r="K561" s="10" t="n">
        <v>178000000</v>
      </c>
      <c r="L561" s="10" t="b">
        <v>0</v>
      </c>
      <c r="M561" s="10" t="n">
        <v>144</v>
      </c>
      <c r="N561" s="10" t="n">
        <v>0</v>
      </c>
      <c r="O561" s="10" t="n">
        <v>0</v>
      </c>
      <c r="P561" s="10" t="b">
        <v>0</v>
      </c>
    </row>
    <row r="562">
      <c r="A562" s="10" t="inlineStr">
        <is>
          <t>Logan</t>
        </is>
      </c>
      <c r="B562" s="10" t="inlineStr">
        <is>
          <t>card_561</t>
        </is>
      </c>
      <c r="C562" s="10" t="inlineStr">
        <is>
          <t>James Mangold</t>
        </is>
      </c>
      <c r="D562" s="10" t="n">
        <v>2017</v>
      </c>
      <c r="E562" s="10" t="n">
        <v>4.13</v>
      </c>
      <c r="F562" s="10" t="n">
        <v>84</v>
      </c>
      <c r="I562" s="10" t="n">
        <v>619200000</v>
      </c>
      <c r="J562" s="10" t="b">
        <v>0</v>
      </c>
      <c r="K562" s="10" t="n">
        <v>97000000</v>
      </c>
      <c r="L562" s="10" t="b">
        <v>0</v>
      </c>
      <c r="M562" s="10" t="n">
        <v>137</v>
      </c>
      <c r="N562" s="10" t="n">
        <v>0</v>
      </c>
      <c r="O562" s="10" t="n">
        <v>0</v>
      </c>
      <c r="P562" s="10" t="b">
        <v>0</v>
      </c>
    </row>
    <row r="563">
      <c r="A563" s="10" t="inlineStr">
        <is>
          <t>Dark Phoenix</t>
        </is>
      </c>
      <c r="B563" s="10" t="inlineStr">
        <is>
          <t>card_562</t>
        </is>
      </c>
      <c r="C563" s="10" t="inlineStr">
        <is>
          <t>Simon Kinberg</t>
        </is>
      </c>
      <c r="D563" s="10" t="n">
        <v>2019</v>
      </c>
      <c r="E563" s="10" t="n">
        <v>2.13</v>
      </c>
      <c r="F563" s="10" t="n">
        <v>49</v>
      </c>
      <c r="I563" s="10" t="n">
        <v>252400000</v>
      </c>
      <c r="J563" s="10" t="b">
        <v>0</v>
      </c>
      <c r="K563" s="10" t="n">
        <v>200000000</v>
      </c>
      <c r="L563" s="10" t="b">
        <v>0</v>
      </c>
      <c r="M563" s="10" t="n">
        <v>114</v>
      </c>
      <c r="N563" s="10" t="n">
        <v>0</v>
      </c>
      <c r="O563" s="10" t="n">
        <v>0</v>
      </c>
      <c r="P563" s="10" t="b">
        <v>0</v>
      </c>
    </row>
    <row r="564">
      <c r="A564" s="10" t="inlineStr">
        <is>
          <t>The New Mutants</t>
        </is>
      </c>
      <c r="B564" s="10" t="inlineStr">
        <is>
          <t>card_563</t>
        </is>
      </c>
      <c r="C564" s="10" t="inlineStr">
        <is>
          <t>Josh Boone</t>
        </is>
      </c>
      <c r="D564" s="10" t="n">
        <v>2020</v>
      </c>
      <c r="E564" s="10" t="n">
        <v>2.13</v>
      </c>
      <c r="F564" s="10" t="n">
        <v>43</v>
      </c>
      <c r="I564" s="10" t="n">
        <v>49200000</v>
      </c>
      <c r="J564" s="10" t="b">
        <v>0</v>
      </c>
      <c r="K564" s="10" t="n">
        <v>80000000</v>
      </c>
      <c r="L564" s="10" t="b">
        <v>0</v>
      </c>
      <c r="M564" s="10" t="n">
        <v>94</v>
      </c>
      <c r="N564" s="10" t="n">
        <v>0</v>
      </c>
      <c r="O564" s="10" t="n">
        <v>0</v>
      </c>
      <c r="P564" s="10" t="b">
        <v>0</v>
      </c>
    </row>
    <row r="565">
      <c r="A565" s="10" t="inlineStr">
        <is>
          <t>The Fast and the Furious</t>
        </is>
      </c>
      <c r="B565" s="10" t="inlineStr">
        <is>
          <t>card_564</t>
        </is>
      </c>
      <c r="C565" s="10" t="inlineStr">
        <is>
          <t>Rob Cohen</t>
        </is>
      </c>
      <c r="D565" s="10" t="n">
        <v>2001</v>
      </c>
      <c r="E565" s="10" t="n">
        <v>2.69</v>
      </c>
      <c r="F565" s="10" t="n">
        <v>72</v>
      </c>
      <c r="I565" s="10" t="n">
        <v>207500000</v>
      </c>
      <c r="J565" s="10" t="b">
        <v>0</v>
      </c>
      <c r="K565" s="10" t="n">
        <v>38000000</v>
      </c>
      <c r="L565" s="10" t="b">
        <v>0</v>
      </c>
      <c r="M565" s="10" t="n">
        <v>106</v>
      </c>
      <c r="N565" s="10" t="n">
        <v>0</v>
      </c>
      <c r="O565" s="10" t="n">
        <v>0</v>
      </c>
      <c r="P565" s="10" t="b">
        <v>0</v>
      </c>
    </row>
    <row r="566">
      <c r="A566" s="10" t="inlineStr">
        <is>
          <t>2 Fast 2 Furious</t>
        </is>
      </c>
      <c r="B566" s="10" t="inlineStr">
        <is>
          <t>card_565</t>
        </is>
      </c>
      <c r="C566" s="10" t="inlineStr">
        <is>
          <t>John Singleton</t>
        </is>
      </c>
      <c r="D566" s="10" t="n">
        <v>2003</v>
      </c>
      <c r="E566" s="10" t="n">
        <v>3.28</v>
      </c>
      <c r="F566" s="10" t="n">
        <v>60</v>
      </c>
      <c r="I566" s="10" t="n">
        <v>236400000</v>
      </c>
      <c r="J566" s="10" t="b">
        <v>0</v>
      </c>
      <c r="K566" s="10" t="n">
        <v>76000000</v>
      </c>
      <c r="L566" s="10" t="b">
        <v>0</v>
      </c>
      <c r="M566" s="10" t="n">
        <v>107</v>
      </c>
      <c r="N566" s="10" t="n">
        <v>0</v>
      </c>
      <c r="O566" s="10" t="n">
        <v>0</v>
      </c>
      <c r="P566" s="10" t="b">
        <v>0</v>
      </c>
    </row>
    <row r="567">
      <c r="A567" s="10" t="inlineStr">
        <is>
          <t>The Fast and the Furious: Tokyo Drift</t>
        </is>
      </c>
      <c r="B567" s="10" t="inlineStr">
        <is>
          <t>card_566</t>
        </is>
      </c>
      <c r="C567" s="10" t="inlineStr">
        <is>
          <t>Justin Lin</t>
        </is>
      </c>
      <c r="D567" s="10" t="n">
        <v>2006</v>
      </c>
      <c r="E567" s="10" t="n">
        <v>3.41</v>
      </c>
      <c r="F567" s="10" t="n">
        <v>66</v>
      </c>
      <c r="I567" s="10" t="n">
        <v>159000000</v>
      </c>
      <c r="J567" s="10" t="b">
        <v>0</v>
      </c>
      <c r="K567" s="10" t="n">
        <v>85000000</v>
      </c>
      <c r="L567" s="10" t="b">
        <v>0</v>
      </c>
      <c r="M567" s="10" t="n">
        <v>104</v>
      </c>
      <c r="N567" s="10" t="n">
        <v>0</v>
      </c>
      <c r="O567" s="10" t="n">
        <v>0</v>
      </c>
      <c r="P567" s="10" t="b">
        <v>0</v>
      </c>
    </row>
    <row r="568">
      <c r="A568" s="10" t="inlineStr">
        <is>
          <t>Fast &amp; Furious</t>
        </is>
      </c>
      <c r="B568" s="10" t="inlineStr">
        <is>
          <t>card_567</t>
        </is>
      </c>
      <c r="C568" s="10" t="inlineStr">
        <is>
          <t>Justin Lin</t>
        </is>
      </c>
      <c r="D568" s="10" t="n">
        <v>2009</v>
      </c>
      <c r="E568" s="10" t="n">
        <v>3.03</v>
      </c>
      <c r="F568" s="10" t="n">
        <v>63</v>
      </c>
      <c r="I568" s="10" t="n">
        <v>360400000</v>
      </c>
      <c r="J568" s="10" t="b">
        <v>0</v>
      </c>
      <c r="K568" s="10" t="n">
        <v>85000000</v>
      </c>
      <c r="L568" s="10" t="b">
        <v>0</v>
      </c>
      <c r="M568" s="10" t="n">
        <v>107</v>
      </c>
      <c r="N568" s="10" t="n">
        <v>0</v>
      </c>
      <c r="O568" s="10" t="n">
        <v>0</v>
      </c>
      <c r="P568" s="10" t="b">
        <v>0</v>
      </c>
    </row>
    <row r="569">
      <c r="A569" s="10" t="inlineStr">
        <is>
          <t>Fast Five</t>
        </is>
      </c>
      <c r="B569" s="10" t="inlineStr">
        <is>
          <t>card_568</t>
        </is>
      </c>
      <c r="C569" s="10" t="inlineStr">
        <is>
          <t>Justin Lin</t>
        </is>
      </c>
      <c r="D569" s="10" t="n">
        <v>2011</v>
      </c>
      <c r="E569" s="10" t="n">
        <v>3.55</v>
      </c>
      <c r="F569" s="10" t="n">
        <v>74</v>
      </c>
      <c r="I569" s="10" t="n">
        <v>630000000</v>
      </c>
      <c r="J569" s="10" t="b">
        <v>0</v>
      </c>
      <c r="K569" s="10" t="n">
        <v>125000000</v>
      </c>
      <c r="L569" s="10" t="b">
        <v>0</v>
      </c>
      <c r="M569" s="10" t="n">
        <v>130</v>
      </c>
      <c r="N569" s="10" t="n">
        <v>0</v>
      </c>
      <c r="O569" s="10" t="n">
        <v>0</v>
      </c>
      <c r="P569" s="10" t="b">
        <v>0</v>
      </c>
    </row>
    <row r="570">
      <c r="A570" s="10" t="inlineStr">
        <is>
          <t>Fast &amp; Furious 6</t>
        </is>
      </c>
      <c r="B570" s="10" t="inlineStr">
        <is>
          <t>card_569</t>
        </is>
      </c>
      <c r="C570" s="10" t="inlineStr">
        <is>
          <t>Justin Lin</t>
        </is>
      </c>
      <c r="D570" s="10" t="n">
        <v>2013</v>
      </c>
      <c r="E570" s="10" t="n">
        <v>3.13</v>
      </c>
      <c r="F570" s="10" t="n">
        <v>70</v>
      </c>
      <c r="I570" s="10" t="n">
        <v>788700000</v>
      </c>
      <c r="J570" s="10" t="b">
        <v>0</v>
      </c>
      <c r="K570" s="10" t="n">
        <v>160000000</v>
      </c>
      <c r="L570" s="10" t="b">
        <v>0</v>
      </c>
      <c r="M570" s="10" t="n">
        <v>130</v>
      </c>
      <c r="N570" s="10" t="n">
        <v>0</v>
      </c>
      <c r="O570" s="10" t="n">
        <v>0</v>
      </c>
      <c r="P570" s="10" t="b">
        <v>0</v>
      </c>
    </row>
    <row r="571">
      <c r="A571" s="10" t="inlineStr">
        <is>
          <t>Furious 7</t>
        </is>
      </c>
      <c r="B571" s="10" t="inlineStr">
        <is>
          <t>card_570</t>
        </is>
      </c>
      <c r="C571" s="10" t="inlineStr">
        <is>
          <t>James Wan</t>
        </is>
      </c>
      <c r="D571" s="10" t="n">
        <v>2015</v>
      </c>
      <c r="E571" s="10" t="n">
        <v>3.35</v>
      </c>
      <c r="F571" s="10" t="n">
        <v>68</v>
      </c>
      <c r="I571" s="10" t="n">
        <v>1515000000</v>
      </c>
      <c r="J571" s="10" t="b">
        <v>0</v>
      </c>
      <c r="K571" s="10" t="n">
        <v>250000000</v>
      </c>
      <c r="L571" s="10" t="b">
        <v>0</v>
      </c>
      <c r="M571" s="10" t="n">
        <v>137</v>
      </c>
      <c r="N571" s="10" t="n">
        <v>0</v>
      </c>
      <c r="O571" s="10" t="n">
        <v>0</v>
      </c>
      <c r="P571" s="10" t="b">
        <v>0</v>
      </c>
    </row>
    <row r="572">
      <c r="A572" s="10" t="inlineStr">
        <is>
          <t>The Fate of the Furious</t>
        </is>
      </c>
      <c r="B572" s="10" t="inlineStr">
        <is>
          <t>card_571</t>
        </is>
      </c>
      <c r="C572" s="10" t="inlineStr">
        <is>
          <t>F. Gary Gray</t>
        </is>
      </c>
      <c r="D572" s="10" t="n">
        <v>2017</v>
      </c>
      <c r="E572" s="10" t="n">
        <v>2.77</v>
      </c>
      <c r="F572" s="10" t="n">
        <v>68</v>
      </c>
      <c r="I572" s="10" t="n">
        <v>1236000000</v>
      </c>
      <c r="J572" s="10" t="b">
        <v>0</v>
      </c>
      <c r="K572" s="10" t="n">
        <v>250000000</v>
      </c>
      <c r="L572" s="10" t="b">
        <v>0</v>
      </c>
      <c r="M572" s="10" t="n">
        <v>136</v>
      </c>
      <c r="N572" s="10" t="n">
        <v>0</v>
      </c>
      <c r="O572" s="10" t="n">
        <v>0</v>
      </c>
      <c r="P572" s="10" t="b">
        <v>0</v>
      </c>
    </row>
    <row r="573">
      <c r="A573" s="10" t="inlineStr">
        <is>
          <t>Fast &amp; Furious Presents: Hobbs &amp; Shaw</t>
        </is>
      </c>
      <c r="B573" s="10" t="inlineStr">
        <is>
          <t>card_572</t>
        </is>
      </c>
      <c r="C573" s="10" t="inlineStr">
        <is>
          <t>David Leitch</t>
        </is>
      </c>
      <c r="D573" s="10" t="n">
        <v>2019</v>
      </c>
      <c r="E573" s="10" t="n">
        <v>2.73</v>
      </c>
      <c r="F573" s="10" t="n">
        <v>64</v>
      </c>
      <c r="I573" s="10" t="n">
        <v>760000000</v>
      </c>
      <c r="J573" s="10" t="b">
        <v>0</v>
      </c>
      <c r="K573" s="10" t="n">
        <v>200000000</v>
      </c>
      <c r="L573" s="10" t="b">
        <v>0</v>
      </c>
      <c r="M573" s="10" t="n">
        <v>137</v>
      </c>
      <c r="N573" s="10" t="n">
        <v>0</v>
      </c>
      <c r="O573" s="10" t="n">
        <v>0</v>
      </c>
      <c r="P573" s="10" t="b">
        <v>0</v>
      </c>
    </row>
    <row r="574">
      <c r="A574" s="10" t="inlineStr">
        <is>
          <t>F9</t>
        </is>
      </c>
      <c r="B574" s="10" t="inlineStr">
        <is>
          <t>card_573</t>
        </is>
      </c>
      <c r="C574" s="10" t="inlineStr">
        <is>
          <t>Justin Lin</t>
        </is>
      </c>
      <c r="D574" s="10" t="n">
        <v>2021</v>
      </c>
      <c r="E574" s="10" t="n">
        <v>2.4</v>
      </c>
      <c r="F574" s="10" t="n">
        <v>47</v>
      </c>
      <c r="I574" s="10" t="n">
        <v>726200000</v>
      </c>
      <c r="J574" s="10" t="b">
        <v>0</v>
      </c>
      <c r="K574" s="10" t="n">
        <v>200000000</v>
      </c>
      <c r="L574" s="10" t="b">
        <v>0</v>
      </c>
      <c r="M574" s="10" t="n">
        <v>143</v>
      </c>
      <c r="N574" s="10" t="n">
        <v>0</v>
      </c>
      <c r="O574" s="10" t="n">
        <v>0</v>
      </c>
      <c r="P574" s="10" t="b">
        <v>0</v>
      </c>
    </row>
    <row r="575">
      <c r="A575" s="10" t="inlineStr">
        <is>
          <t>Fast X</t>
        </is>
      </c>
      <c r="B575" s="10" t="inlineStr">
        <is>
          <t>card_574</t>
        </is>
      </c>
      <c r="C575" s="10" t="inlineStr">
        <is>
          <t>Louis Leterrier</t>
        </is>
      </c>
      <c r="D575" s="10" t="n">
        <v>2023</v>
      </c>
      <c r="E575" s="10" t="n">
        <v>2.49</v>
      </c>
      <c r="F575" s="10" t="n">
        <v>49</v>
      </c>
      <c r="I575" s="10" t="n">
        <v>714400000</v>
      </c>
      <c r="J575" s="10" t="b">
        <v>0</v>
      </c>
      <c r="K575" s="10" t="n">
        <v>340000000</v>
      </c>
      <c r="L575" s="10" t="b">
        <v>0</v>
      </c>
      <c r="M575" s="10" t="n">
        <v>141</v>
      </c>
      <c r="N575" s="10" t="n">
        <v>0</v>
      </c>
      <c r="O575" s="10" t="n">
        <v>0</v>
      </c>
      <c r="P575" s="10" t="b">
        <v>0</v>
      </c>
    </row>
    <row r="576">
      <c r="A576" s="10" t="inlineStr">
        <is>
          <t>Spider-Man</t>
        </is>
      </c>
      <c r="B576" s="10" t="inlineStr">
        <is>
          <t>card_575</t>
        </is>
      </c>
      <c r="C576" s="10" t="inlineStr">
        <is>
          <t>Sam Raimi</t>
        </is>
      </c>
      <c r="D576" s="10" t="n">
        <v>2002</v>
      </c>
      <c r="E576" s="10" t="n">
        <v>3.88</v>
      </c>
      <c r="F576" s="10" t="n">
        <v>83</v>
      </c>
      <c r="I576" s="10" t="n">
        <v>826800000</v>
      </c>
      <c r="J576" s="10" t="b">
        <v>0</v>
      </c>
      <c r="K576" s="10" t="n">
        <v>139000000</v>
      </c>
      <c r="L576" s="10" t="b">
        <v>0</v>
      </c>
      <c r="M576" s="10" t="n">
        <v>121</v>
      </c>
      <c r="N576" s="10" t="n">
        <v>0</v>
      </c>
      <c r="O576" s="10" t="n">
        <v>0</v>
      </c>
      <c r="P576" s="10" t="b">
        <v>0</v>
      </c>
    </row>
    <row r="577">
      <c r="A577" s="10" t="inlineStr">
        <is>
          <t>Spider-Man 3</t>
        </is>
      </c>
      <c r="B577" s="10" t="inlineStr">
        <is>
          <t>card_576</t>
        </is>
      </c>
      <c r="C577" s="10" t="inlineStr">
        <is>
          <t>Sam Raimi</t>
        </is>
      </c>
      <c r="D577" s="10" t="n">
        <v>2007</v>
      </c>
      <c r="E577" s="10" t="n">
        <v>3.27</v>
      </c>
      <c r="F577" s="10" t="n">
        <v>67</v>
      </c>
      <c r="I577" s="10" t="n">
        <v>896300000</v>
      </c>
      <c r="J577" s="10" t="b">
        <v>0</v>
      </c>
      <c r="K577" s="10" t="n">
        <v>258000000</v>
      </c>
      <c r="L577" s="10" t="b">
        <v>0</v>
      </c>
      <c r="M577" s="10" t="n">
        <v>139</v>
      </c>
      <c r="N577" s="10" t="n">
        <v>0</v>
      </c>
      <c r="O577" s="10" t="n">
        <v>0</v>
      </c>
      <c r="P577" s="10" t="b">
        <v>0</v>
      </c>
    </row>
    <row r="578">
      <c r="A578" s="10" t="inlineStr">
        <is>
          <t>The Amazing Spider-Man</t>
        </is>
      </c>
      <c r="B578" s="10" t="inlineStr">
        <is>
          <t>card_577</t>
        </is>
      </c>
      <c r="C578" s="10" t="inlineStr">
        <is>
          <t>Marc Webb</t>
        </is>
      </c>
      <c r="D578" s="10" t="n">
        <v>2012</v>
      </c>
      <c r="E578" s="10" t="n">
        <v>3.59</v>
      </c>
      <c r="F578" s="10" t="n">
        <v>71</v>
      </c>
      <c r="I578" s="10" t="n">
        <v>758700000</v>
      </c>
      <c r="J578" s="10" t="b">
        <v>0</v>
      </c>
      <c r="K578" s="10" t="n">
        <v>230000000</v>
      </c>
      <c r="L578" s="10" t="b">
        <v>0</v>
      </c>
      <c r="M578" s="10" t="n">
        <v>136</v>
      </c>
      <c r="N578" s="10" t="n">
        <v>0</v>
      </c>
      <c r="O578" s="10" t="n">
        <v>0</v>
      </c>
      <c r="P578" s="10" t="b">
        <v>0</v>
      </c>
    </row>
    <row r="579">
      <c r="A579" s="10" t="inlineStr">
        <is>
          <t>The Amazing Spider-Man 2</t>
        </is>
      </c>
      <c r="B579" s="10" t="inlineStr">
        <is>
          <t>card_578</t>
        </is>
      </c>
      <c r="C579" s="10" t="inlineStr">
        <is>
          <t>Marc Webb</t>
        </is>
      </c>
      <c r="D579" s="10" t="n">
        <v>2014</v>
      </c>
      <c r="E579" s="10" t="n">
        <v>3.27</v>
      </c>
      <c r="F579" s="10" t="n">
        <v>64</v>
      </c>
      <c r="I579" s="10" t="n">
        <v>717000000</v>
      </c>
      <c r="J579" s="10" t="b">
        <v>0</v>
      </c>
      <c r="K579" s="10" t="n">
        <v>293000000</v>
      </c>
      <c r="L579" s="10" t="b">
        <v>0</v>
      </c>
      <c r="M579" s="10" t="n">
        <v>142</v>
      </c>
      <c r="N579" s="10" t="n">
        <v>0</v>
      </c>
      <c r="O579" s="10" t="n">
        <v>0</v>
      </c>
      <c r="P579" s="10" t="b">
        <v>0</v>
      </c>
    </row>
    <row r="580">
      <c r="A580" s="10" t="inlineStr">
        <is>
          <t>Spider-Man: Into the Spider-Verse</t>
        </is>
      </c>
      <c r="B580" s="10" t="inlineStr">
        <is>
          <t>card_579</t>
        </is>
      </c>
      <c r="C580" s="10" t="inlineStr">
        <is>
          <t>Bob Persichetti and Peter Ramsey and Rodney Rothman</t>
        </is>
      </c>
      <c r="D580" s="10" t="n">
        <v>2018</v>
      </c>
      <c r="E580" s="10" t="n">
        <v>4.4</v>
      </c>
      <c r="F580" s="10" t="n">
        <v>88</v>
      </c>
      <c r="I580" s="10" t="n">
        <v>395000000</v>
      </c>
      <c r="J580" s="10" t="b">
        <v>0</v>
      </c>
      <c r="K580" s="10" t="n">
        <v>90000000</v>
      </c>
      <c r="L580" s="10" t="b">
        <v>0</v>
      </c>
      <c r="M580" s="10" t="n">
        <v>117</v>
      </c>
      <c r="N580" s="10" t="n">
        <v>1</v>
      </c>
      <c r="O580" s="10" t="n">
        <v>0</v>
      </c>
      <c r="P580" s="10" t="b">
        <v>0</v>
      </c>
    </row>
    <row r="581">
      <c r="A581" s="10" t="inlineStr">
        <is>
          <t>Conan the Barbarian</t>
        </is>
      </c>
      <c r="B581" s="10" t="inlineStr">
        <is>
          <t>card_580</t>
        </is>
      </c>
      <c r="C581" s="10" t="inlineStr">
        <is>
          <t>John Milius</t>
        </is>
      </c>
      <c r="D581" s="10" t="n">
        <v>1982</v>
      </c>
      <c r="E581" s="10" t="n">
        <v>3.49</v>
      </c>
      <c r="F581" s="10" t="n">
        <v>78</v>
      </c>
      <c r="I581" s="10" t="n">
        <v>79100000</v>
      </c>
      <c r="J581" s="10" t="b">
        <v>0</v>
      </c>
      <c r="K581" s="10" t="n">
        <v>20000000</v>
      </c>
      <c r="L581" s="10" t="b">
        <v>0</v>
      </c>
      <c r="M581" s="10" t="n">
        <v>129</v>
      </c>
      <c r="N581" s="10" t="n">
        <v>0</v>
      </c>
      <c r="O581" s="10" t="n">
        <v>0</v>
      </c>
      <c r="P581" s="10" t="b">
        <v>0</v>
      </c>
    </row>
    <row r="582">
      <c r="A582" s="10" t="inlineStr">
        <is>
          <t>Commando</t>
        </is>
      </c>
      <c r="B582" s="10" t="inlineStr">
        <is>
          <t>card_581</t>
        </is>
      </c>
      <c r="C582" s="10" t="inlineStr">
        <is>
          <t>Mark L. Lester</t>
        </is>
      </c>
      <c r="D582" s="10" t="n">
        <v>1985</v>
      </c>
      <c r="E582" s="10" t="n">
        <v>3.4</v>
      </c>
      <c r="F582" s="10" t="n">
        <v>71</v>
      </c>
      <c r="I582" s="10" t="n">
        <v>57500000</v>
      </c>
      <c r="J582" s="10" t="b">
        <v>0</v>
      </c>
      <c r="K582" s="10" t="n">
        <v>10000000</v>
      </c>
      <c r="L582" s="10" t="b">
        <v>0</v>
      </c>
      <c r="M582" s="10" t="n">
        <v>90</v>
      </c>
      <c r="N582" s="10" t="n">
        <v>0</v>
      </c>
      <c r="O582" s="10" t="n">
        <v>0</v>
      </c>
      <c r="P582" s="10" t="b">
        <v>0</v>
      </c>
    </row>
    <row r="583">
      <c r="A583" s="10" t="inlineStr">
        <is>
          <t>The Running Man</t>
        </is>
      </c>
      <c r="B583" s="10" t="inlineStr">
        <is>
          <t>card_582</t>
        </is>
      </c>
      <c r="C583" s="10" t="inlineStr">
        <is>
          <t>Paul Michael Glaser</t>
        </is>
      </c>
      <c r="D583" s="10" t="n">
        <v>1987</v>
      </c>
      <c r="E583" s="10" t="n">
        <v>3.15</v>
      </c>
      <c r="F583" s="10" t="n">
        <v>69</v>
      </c>
      <c r="I583" s="10" t="n">
        <v>38100000</v>
      </c>
      <c r="J583" s="10" t="b">
        <v>0</v>
      </c>
      <c r="K583" s="10" t="n">
        <v>27000000</v>
      </c>
      <c r="L583" s="10" t="b">
        <v>0</v>
      </c>
      <c r="M583" s="10" t="n">
        <v>101</v>
      </c>
      <c r="N583" s="10" t="n">
        <v>0</v>
      </c>
      <c r="O583" s="10" t="n">
        <v>0</v>
      </c>
      <c r="P583" s="10" t="b">
        <v>0</v>
      </c>
    </row>
    <row r="584">
      <c r="A584" s="10" t="inlineStr">
        <is>
          <t>Twins</t>
        </is>
      </c>
      <c r="B584" s="10" t="inlineStr">
        <is>
          <t>card_583</t>
        </is>
      </c>
      <c r="C584" s="10" t="inlineStr">
        <is>
          <t>Ivan Reitman</t>
        </is>
      </c>
      <c r="D584" s="10" t="n">
        <v>1988</v>
      </c>
      <c r="E584" s="10" t="n">
        <v>3.05</v>
      </c>
      <c r="F584" s="10" t="n">
        <v>68</v>
      </c>
      <c r="I584" s="10" t="n">
        <v>216600000</v>
      </c>
      <c r="J584" s="10" t="b">
        <v>0</v>
      </c>
      <c r="K584" s="10" t="n">
        <v>18000000</v>
      </c>
      <c r="L584" s="10" t="b">
        <v>0</v>
      </c>
      <c r="M584" s="10" t="n">
        <v>107</v>
      </c>
      <c r="N584" s="10" t="n">
        <v>0</v>
      </c>
      <c r="O584" s="10" t="n">
        <v>0</v>
      </c>
      <c r="P584" s="10" t="b">
        <v>0</v>
      </c>
    </row>
    <row r="585">
      <c r="A585" s="10" t="inlineStr">
        <is>
          <t>Total Recall</t>
        </is>
      </c>
      <c r="B585" s="10" t="inlineStr">
        <is>
          <t>card_584</t>
        </is>
      </c>
      <c r="C585" s="10" t="inlineStr">
        <is>
          <t>Paul Verhoeven</t>
        </is>
      </c>
      <c r="D585" s="10" t="n">
        <v>1990</v>
      </c>
      <c r="E585" s="10" t="n">
        <v>3.82</v>
      </c>
      <c r="F585" s="10" t="n">
        <v>81</v>
      </c>
      <c r="I585" s="10" t="n">
        <v>261400000</v>
      </c>
      <c r="J585" s="10" t="b">
        <v>0</v>
      </c>
      <c r="K585" s="10" t="n">
        <v>65000000</v>
      </c>
      <c r="L585" s="10" t="b">
        <v>0</v>
      </c>
      <c r="M585" s="10" t="n">
        <v>113</v>
      </c>
      <c r="N585" s="10" t="n">
        <v>1</v>
      </c>
      <c r="O585" s="10" t="n">
        <v>0</v>
      </c>
      <c r="P585" s="10" t="b">
        <v>0</v>
      </c>
    </row>
    <row r="586">
      <c r="A586" s="10" t="inlineStr">
        <is>
          <t>Kindergarten Cop</t>
        </is>
      </c>
      <c r="B586" s="10" t="inlineStr">
        <is>
          <t>card_585</t>
        </is>
      </c>
      <c r="C586" s="10" t="inlineStr">
        <is>
          <t>Ivan Reitman</t>
        </is>
      </c>
      <c r="D586" s="10" t="n">
        <v>1990</v>
      </c>
      <c r="E586" s="10" t="n">
        <v>3.19</v>
      </c>
      <c r="F586" s="10" t="n">
        <v>67</v>
      </c>
      <c r="I586" s="10" t="n">
        <v>202000000</v>
      </c>
      <c r="J586" s="10" t="b">
        <v>0</v>
      </c>
      <c r="K586" s="10" t="n">
        <v>26000000</v>
      </c>
      <c r="L586" s="10" t="b">
        <v>0</v>
      </c>
      <c r="M586" s="10" t="n">
        <v>111</v>
      </c>
      <c r="N586" s="10" t="n">
        <v>0</v>
      </c>
      <c r="O586" s="10" t="n">
        <v>0</v>
      </c>
      <c r="P586" s="10" t="b">
        <v>0</v>
      </c>
    </row>
    <row r="587">
      <c r="A587" s="10" t="inlineStr">
        <is>
          <t>True Lies</t>
        </is>
      </c>
      <c r="B587" s="10" t="inlineStr">
        <is>
          <t>card_586</t>
        </is>
      </c>
      <c r="C587" s="10" t="inlineStr">
        <is>
          <t>James Cameron</t>
        </is>
      </c>
      <c r="D587" s="10" t="n">
        <v>1994</v>
      </c>
      <c r="E587" s="10" t="n">
        <v>3.6</v>
      </c>
      <c r="F587" s="10" t="n">
        <v>75</v>
      </c>
      <c r="I587" s="10" t="n">
        <v>378900000</v>
      </c>
      <c r="J587" s="10" t="b">
        <v>0</v>
      </c>
      <c r="K587" s="10" t="n">
        <v>110000000</v>
      </c>
      <c r="L587" s="10" t="b">
        <v>0</v>
      </c>
      <c r="M587" s="10" t="n">
        <v>141</v>
      </c>
      <c r="N587" s="10" t="n">
        <v>0</v>
      </c>
      <c r="O587" s="10" t="n">
        <v>0</v>
      </c>
      <c r="P587" s="10" t="b">
        <v>0</v>
      </c>
    </row>
    <row r="588">
      <c r="A588" s="10" t="inlineStr">
        <is>
          <t>Last Action Hero</t>
        </is>
      </c>
      <c r="B588" s="10" t="inlineStr">
        <is>
          <t>card_587</t>
        </is>
      </c>
      <c r="C588" s="10" t="inlineStr">
        <is>
          <t>John McTiernan</t>
        </is>
      </c>
      <c r="D588" s="10" t="n">
        <v>1993</v>
      </c>
      <c r="E588" s="10" t="n">
        <v>3.44</v>
      </c>
      <c r="F588" s="10" t="n">
        <v>73</v>
      </c>
      <c r="I588" s="10" t="n">
        <v>137300000</v>
      </c>
      <c r="J588" s="10" t="b">
        <v>0</v>
      </c>
      <c r="K588" s="10" t="n">
        <v>85000000</v>
      </c>
      <c r="L588" s="10" t="b">
        <v>0</v>
      </c>
      <c r="M588" s="10" t="n">
        <v>131</v>
      </c>
      <c r="N588" s="10" t="n">
        <v>0</v>
      </c>
      <c r="O588" s="10" t="n">
        <v>0</v>
      </c>
      <c r="P588" s="10" t="b">
        <v>0</v>
      </c>
    </row>
    <row r="589">
      <c r="A589" s="10" t="inlineStr">
        <is>
          <t>Eraser</t>
        </is>
      </c>
      <c r="B589" s="10" t="inlineStr">
        <is>
          <t>card_588</t>
        </is>
      </c>
      <c r="C589" s="10" t="inlineStr">
        <is>
          <t>Chuck Russell</t>
        </is>
      </c>
      <c r="D589" s="10" t="n">
        <v>1996</v>
      </c>
      <c r="E589" s="10" t="n">
        <v>2.93</v>
      </c>
      <c r="F589" s="10" t="n">
        <v>66</v>
      </c>
      <c r="I589" s="10" t="n">
        <v>242000000</v>
      </c>
      <c r="J589" s="10" t="b">
        <v>0</v>
      </c>
      <c r="K589" s="10" t="n">
        <v>100000000</v>
      </c>
      <c r="L589" s="10" t="b">
        <v>0</v>
      </c>
      <c r="M589" s="10" t="n">
        <v>114</v>
      </c>
      <c r="N589" s="10" t="n">
        <v>0</v>
      </c>
      <c r="O589" s="10" t="n">
        <v>0</v>
      </c>
      <c r="P589" s="10" t="b">
        <v>0</v>
      </c>
    </row>
    <row r="590">
      <c r="A590" s="10" t="inlineStr">
        <is>
          <t>The 6th Day</t>
        </is>
      </c>
      <c r="B590" s="10" t="inlineStr">
        <is>
          <t>card_589</t>
        </is>
      </c>
      <c r="C590" s="10" t="inlineStr">
        <is>
          <t>Roger Spottiswoode</t>
        </is>
      </c>
      <c r="D590" s="10" t="n">
        <v>2000</v>
      </c>
      <c r="E590" s="10" t="n">
        <v>2.79</v>
      </c>
      <c r="F590" s="10" t="n">
        <v>63</v>
      </c>
      <c r="I590" s="10" t="n">
        <v>96000000</v>
      </c>
      <c r="J590" s="10" t="b">
        <v>0</v>
      </c>
      <c r="K590" s="10" t="n">
        <v>82000000</v>
      </c>
      <c r="L590" s="10" t="b">
        <v>0</v>
      </c>
      <c r="M590" s="10" t="n">
        <v>124</v>
      </c>
      <c r="N590" s="10" t="n">
        <v>0</v>
      </c>
      <c r="O590" s="10" t="n">
        <v>0</v>
      </c>
      <c r="P590" s="10" t="b">
        <v>0</v>
      </c>
    </row>
    <row r="591">
      <c r="A591" s="10" t="inlineStr">
        <is>
          <t>End of Days</t>
        </is>
      </c>
      <c r="B591" s="10" t="inlineStr">
        <is>
          <t>card_590</t>
        </is>
      </c>
      <c r="C591" s="10" t="inlineStr">
        <is>
          <t>Peter Hyams</t>
        </is>
      </c>
      <c r="D591" s="10" t="n">
        <v>1999</v>
      </c>
      <c r="E591" s="10" t="n">
        <v>2.74</v>
      </c>
      <c r="F591" s="10" t="n">
        <v>62</v>
      </c>
      <c r="I591" s="10" t="n">
        <v>212000000</v>
      </c>
      <c r="J591" s="10" t="b">
        <v>0</v>
      </c>
      <c r="K591" s="10" t="n">
        <v>100000000</v>
      </c>
      <c r="L591" s="10" t="b">
        <v>0</v>
      </c>
      <c r="M591" s="10" t="n">
        <v>122</v>
      </c>
      <c r="N591" s="10" t="n">
        <v>0</v>
      </c>
      <c r="O591" s="10" t="n">
        <v>0</v>
      </c>
      <c r="P591" s="10" t="b">
        <v>0</v>
      </c>
    </row>
    <row r="592">
      <c r="A592" s="10" t="inlineStr">
        <is>
          <t>Police Academy</t>
        </is>
      </c>
      <c r="B592" s="10" t="inlineStr">
        <is>
          <t>card_591</t>
        </is>
      </c>
      <c r="C592" s="10" t="inlineStr">
        <is>
          <t>Hugh Wilson</t>
        </is>
      </c>
      <c r="D592" s="10" t="n">
        <v>1984</v>
      </c>
      <c r="E592" s="10" t="n">
        <v>3.23</v>
      </c>
      <c r="F592" s="10" t="n">
        <v>71</v>
      </c>
      <c r="I592" s="10" t="n">
        <v>149800000</v>
      </c>
      <c r="J592" s="10" t="b">
        <v>0</v>
      </c>
      <c r="K592" s="10" t="n">
        <v>4800000</v>
      </c>
      <c r="L592" s="10" t="b">
        <v>0</v>
      </c>
      <c r="M592" s="10" t="n">
        <v>96</v>
      </c>
      <c r="N592" s="10" t="n">
        <v>0</v>
      </c>
      <c r="O592" s="10" t="n">
        <v>0</v>
      </c>
      <c r="P592" s="10" t="b">
        <v>0</v>
      </c>
    </row>
    <row r="593">
      <c r="A593" s="10" t="inlineStr">
        <is>
          <t>Police Academy 2: Their First Assignment</t>
        </is>
      </c>
      <c r="B593" s="10" t="inlineStr">
        <is>
          <t>card_592</t>
        </is>
      </c>
      <c r="C593" s="10" t="inlineStr">
        <is>
          <t>Jerry Paris</t>
        </is>
      </c>
      <c r="D593" s="10" t="n">
        <v>1985</v>
      </c>
      <c r="E593" s="10" t="n">
        <v>2.88</v>
      </c>
      <c r="F593" s="10" t="n">
        <v>65</v>
      </c>
      <c r="I593" s="10" t="n">
        <v>115000000</v>
      </c>
      <c r="J593" s="10" t="b">
        <v>0</v>
      </c>
      <c r="K593" s="10" t="n">
        <v>7500000</v>
      </c>
      <c r="L593" s="10" t="b">
        <v>0</v>
      </c>
      <c r="M593" s="10" t="n">
        <v>87</v>
      </c>
      <c r="N593" s="10" t="n">
        <v>0</v>
      </c>
      <c r="O593" s="10" t="n">
        <v>0</v>
      </c>
      <c r="P593" s="10" t="b">
        <v>0</v>
      </c>
    </row>
    <row r="594">
      <c r="A594" s="10" t="inlineStr">
        <is>
          <t>Police Academy 3: Back in Training</t>
        </is>
      </c>
      <c r="B594" s="10" t="inlineStr">
        <is>
          <t>card_593</t>
        </is>
      </c>
      <c r="C594" s="10" t="inlineStr">
        <is>
          <t>Jerry Paris</t>
        </is>
      </c>
      <c r="D594" s="10" t="n">
        <v>1986</v>
      </c>
      <c r="E594" s="10" t="n">
        <v>2.74</v>
      </c>
      <c r="F594" s="10" t="n">
        <v>60</v>
      </c>
      <c r="I594" s="10" t="n">
        <v>107600000</v>
      </c>
      <c r="J594" s="10" t="b">
        <v>0</v>
      </c>
      <c r="K594" s="10" t="n">
        <v>12000000</v>
      </c>
      <c r="L594" s="10" t="b">
        <v>0</v>
      </c>
      <c r="M594" s="10" t="n">
        <v>84</v>
      </c>
      <c r="N594" s="10" t="n">
        <v>0</v>
      </c>
      <c r="O594" s="10" t="n">
        <v>0</v>
      </c>
      <c r="P594" s="10" t="b">
        <v>0</v>
      </c>
    </row>
    <row r="595">
      <c r="A595" s="10" t="inlineStr">
        <is>
          <t>Police Academy 4: Citizens on Patrol</t>
        </is>
      </c>
      <c r="B595" s="10" t="inlineStr">
        <is>
          <t>card_594</t>
        </is>
      </c>
      <c r="C595" s="10" t="inlineStr">
        <is>
          <t>Jim Drake</t>
        </is>
      </c>
      <c r="D595" s="10" t="n">
        <v>1987</v>
      </c>
      <c r="E595" s="10" t="n">
        <v>2.62</v>
      </c>
      <c r="F595" s="10" t="n">
        <v>58</v>
      </c>
      <c r="I595" s="10" t="n">
        <v>76800000</v>
      </c>
      <c r="J595" s="10" t="b">
        <v>0</v>
      </c>
      <c r="K595" s="10" t="n">
        <v>17000000</v>
      </c>
      <c r="L595" s="10" t="b">
        <v>0</v>
      </c>
      <c r="M595" s="10" t="n">
        <v>87</v>
      </c>
      <c r="N595" s="10" t="n">
        <v>0</v>
      </c>
      <c r="O595" s="10" t="n">
        <v>0</v>
      </c>
      <c r="P595" s="10" t="b">
        <v>0</v>
      </c>
    </row>
    <row r="596">
      <c r="A596" s="10" t="inlineStr">
        <is>
          <t>Police Academy 5: Assignment: Miami Beach</t>
        </is>
      </c>
      <c r="B596" s="10" t="inlineStr">
        <is>
          <t>card_595</t>
        </is>
      </c>
      <c r="C596" s="10" t="inlineStr">
        <is>
          <t>Alan Myerson</t>
        </is>
      </c>
      <c r="D596" s="10" t="n">
        <v>1988</v>
      </c>
      <c r="E596" s="10" t="n">
        <v>2.37</v>
      </c>
      <c r="F596" s="10" t="n">
        <v>58</v>
      </c>
      <c r="I596" s="10" t="n">
        <v>54500000</v>
      </c>
      <c r="J596" s="10" t="b">
        <v>0</v>
      </c>
      <c r="K596" s="10" t="n">
        <v>14000000</v>
      </c>
      <c r="L596" s="10" t="b">
        <v>0</v>
      </c>
      <c r="M596" s="10" t="n">
        <v>90</v>
      </c>
      <c r="N596" s="10" t="n">
        <v>0</v>
      </c>
      <c r="O596" s="10" t="n">
        <v>0</v>
      </c>
      <c r="P596" s="10" t="b">
        <v>0</v>
      </c>
    </row>
    <row r="597">
      <c r="A597" s="10" t="inlineStr">
        <is>
          <t>Police Academy 6: City Under Siege</t>
        </is>
      </c>
      <c r="B597" s="10" t="inlineStr">
        <is>
          <t>card_596</t>
        </is>
      </c>
      <c r="C597" s="10" t="inlineStr">
        <is>
          <t>Peter Bonerz</t>
        </is>
      </c>
      <c r="D597" s="10" t="n">
        <v>1989</v>
      </c>
      <c r="E597" s="10" t="n">
        <v>2.26</v>
      </c>
      <c r="F597" s="10" t="n">
        <v>56</v>
      </c>
      <c r="I597" s="10" t="n">
        <v>33200000</v>
      </c>
      <c r="J597" s="10" t="b">
        <v>0</v>
      </c>
      <c r="K597" s="10" t="n">
        <v>15000000</v>
      </c>
      <c r="L597" s="10" t="b">
        <v>0</v>
      </c>
      <c r="M597" s="10" t="n">
        <v>84</v>
      </c>
      <c r="N597" s="10" t="n">
        <v>0</v>
      </c>
      <c r="O597" s="10" t="n">
        <v>0</v>
      </c>
      <c r="P597" s="10" t="b">
        <v>0</v>
      </c>
    </row>
    <row r="598">
      <c r="A598" s="10" t="inlineStr">
        <is>
          <t>Police Academy: Mission to Moscow</t>
        </is>
      </c>
      <c r="B598" s="10" t="inlineStr">
        <is>
          <t>card_597</t>
        </is>
      </c>
      <c r="C598" s="10" t="inlineStr">
        <is>
          <t>Alan Metter</t>
        </is>
      </c>
      <c r="D598" s="10" t="n">
        <v>1994</v>
      </c>
      <c r="E598" s="10" t="n">
        <v>1.83</v>
      </c>
      <c r="F598" s="10" t="n">
        <v>45</v>
      </c>
      <c r="I598" s="10" t="n">
        <v>4300000</v>
      </c>
      <c r="J598" s="10" t="b">
        <v>0</v>
      </c>
      <c r="K598" s="10" t="n">
        <v>10000000</v>
      </c>
      <c r="L598" s="10" t="b">
        <v>0</v>
      </c>
      <c r="M598" s="10" t="n">
        <v>83</v>
      </c>
      <c r="N598" s="10" t="n">
        <v>0</v>
      </c>
      <c r="O598" s="10" t="n">
        <v>0</v>
      </c>
      <c r="P598" s="10" t="b">
        <v>0</v>
      </c>
    </row>
    <row r="599">
      <c r="A599" s="10" t="inlineStr">
        <is>
          <t>The Hunt for Red October</t>
        </is>
      </c>
      <c r="B599" s="10" t="inlineStr">
        <is>
          <t>card_598</t>
        </is>
      </c>
      <c r="C599" s="10" t="inlineStr">
        <is>
          <t>John McTiernan</t>
        </is>
      </c>
      <c r="D599" s="10" t="n">
        <v>1990</v>
      </c>
      <c r="E599" s="10" t="n">
        <v>3.78</v>
      </c>
      <c r="F599" s="10" t="n">
        <v>76</v>
      </c>
      <c r="I599" s="10" t="n">
        <v>200500000</v>
      </c>
      <c r="J599" s="10" t="b">
        <v>0</v>
      </c>
      <c r="K599" s="10" t="n">
        <v>30000000</v>
      </c>
      <c r="L599" s="10" t="b">
        <v>0</v>
      </c>
      <c r="M599" s="10" t="n">
        <v>135</v>
      </c>
      <c r="N599" s="10" t="n">
        <v>1</v>
      </c>
      <c r="O599" s="10" t="n">
        <v>0</v>
      </c>
      <c r="P599" s="10" t="b">
        <v>0</v>
      </c>
    </row>
    <row r="600">
      <c r="A600" s="10" t="inlineStr">
        <is>
          <t>The Untouchables</t>
        </is>
      </c>
      <c r="B600" s="10" t="inlineStr">
        <is>
          <t>card_599</t>
        </is>
      </c>
      <c r="C600" s="10" t="inlineStr">
        <is>
          <t>Brian De Palma</t>
        </is>
      </c>
      <c r="D600" s="10" t="n">
        <v>1987</v>
      </c>
      <c r="E600" s="10" t="n">
        <v>3.86</v>
      </c>
      <c r="F600" s="10" t="n">
        <v>80</v>
      </c>
      <c r="I600" s="10" t="n">
        <v>187000000</v>
      </c>
      <c r="J600" s="10" t="b">
        <v>0</v>
      </c>
      <c r="K600" s="10" t="n">
        <v>25000000</v>
      </c>
      <c r="L600" s="10" t="b">
        <v>0</v>
      </c>
      <c r="M600" s="10" t="n">
        <v>119</v>
      </c>
      <c r="N600" s="10" t="n">
        <v>1</v>
      </c>
      <c r="O600" s="10" t="n">
        <v>0</v>
      </c>
      <c r="P600" s="10" t="b">
        <v>0</v>
      </c>
    </row>
    <row r="601">
      <c r="A601" s="10" t="inlineStr">
        <is>
          <t>The Rock</t>
        </is>
      </c>
      <c r="B601" s="10" t="inlineStr">
        <is>
          <t>card_600</t>
        </is>
      </c>
      <c r="C601" s="10" t="inlineStr">
        <is>
          <t>Michael Bay</t>
        </is>
      </c>
      <c r="D601" s="10" t="n">
        <v>1996</v>
      </c>
      <c r="E601" s="10" t="n">
        <v>3.6</v>
      </c>
      <c r="F601" s="10" t="n">
        <v>75</v>
      </c>
      <c r="I601" s="10" t="n">
        <v>335600000</v>
      </c>
      <c r="J601" s="10" t="b">
        <v>0</v>
      </c>
      <c r="K601" s="10" t="n">
        <v>75000000</v>
      </c>
      <c r="L601" s="10" t="b">
        <v>0</v>
      </c>
      <c r="M601" s="10" t="n">
        <v>136</v>
      </c>
      <c r="N601" s="10" t="n">
        <v>0</v>
      </c>
      <c r="O601" s="10" t="n">
        <v>0</v>
      </c>
      <c r="P601" s="10" t="b">
        <v>0</v>
      </c>
    </row>
    <row r="602">
      <c r="A602" s="10" t="inlineStr">
        <is>
          <t>Entrapment</t>
        </is>
      </c>
      <c r="B602" s="10" t="inlineStr">
        <is>
          <t>card_601</t>
        </is>
      </c>
      <c r="C602" s="10" t="inlineStr">
        <is>
          <t>Jon Amiel</t>
        </is>
      </c>
      <c r="D602" s="10" t="n">
        <v>1999</v>
      </c>
      <c r="E602" s="10" t="n">
        <v>2.9</v>
      </c>
      <c r="F602" s="10" t="n">
        <v>64</v>
      </c>
      <c r="I602" s="10" t="n">
        <v>212000000</v>
      </c>
      <c r="J602" s="10" t="b">
        <v>0</v>
      </c>
      <c r="K602" s="10" t="n">
        <v>66000000</v>
      </c>
      <c r="L602" s="10" t="b">
        <v>0</v>
      </c>
      <c r="M602" s="10" t="n">
        <v>113</v>
      </c>
      <c r="N602" s="10" t="n">
        <v>0</v>
      </c>
      <c r="O602" s="10" t="n">
        <v>0</v>
      </c>
      <c r="P602" s="10" t="b">
        <v>0</v>
      </c>
    </row>
    <row r="603">
      <c r="A603" s="10" t="inlineStr">
        <is>
          <t>Finding Forrester</t>
        </is>
      </c>
      <c r="B603" s="10" t="inlineStr">
        <is>
          <t>card_602</t>
        </is>
      </c>
      <c r="C603" s="10" t="inlineStr">
        <is>
          <t>Gus Van Sant</t>
        </is>
      </c>
      <c r="D603" s="10" t="n">
        <v>2000</v>
      </c>
      <c r="E603" s="10" t="n">
        <v>3.56</v>
      </c>
      <c r="F603" s="10" t="n">
        <v>69</v>
      </c>
      <c r="I603" s="10" t="n">
        <v>80000000</v>
      </c>
      <c r="J603" s="10" t="b">
        <v>0</v>
      </c>
      <c r="K603" s="10" t="n">
        <v>43000000</v>
      </c>
      <c r="L603" s="10" t="b">
        <v>0</v>
      </c>
      <c r="M603" s="10" t="n">
        <v>136</v>
      </c>
      <c r="N603" s="10" t="n">
        <v>0</v>
      </c>
      <c r="O603" s="10" t="n">
        <v>0</v>
      </c>
      <c r="P603" s="10" t="b">
        <v>0</v>
      </c>
    </row>
    <row r="604">
      <c r="A604" s="10" t="inlineStr">
        <is>
          <t>The Man Who Would Be King</t>
        </is>
      </c>
      <c r="B604" s="10" t="inlineStr">
        <is>
          <t>card_603</t>
        </is>
      </c>
      <c r="C604" s="10" t="inlineStr">
        <is>
          <t>John Huston</t>
        </is>
      </c>
      <c r="D604" s="10" t="n">
        <v>1975</v>
      </c>
      <c r="E604" s="10" t="n">
        <v>3.9</v>
      </c>
      <c r="F604" s="10" t="n">
        <v>76</v>
      </c>
      <c r="I604" s="10" t="n">
        <v>11000000</v>
      </c>
      <c r="J604" s="10" t="b">
        <v>0</v>
      </c>
      <c r="K604" s="10" t="n">
        <v>8500000</v>
      </c>
      <c r="L604" s="10" t="b">
        <v>0</v>
      </c>
      <c r="M604" s="10" t="n">
        <v>129</v>
      </c>
      <c r="N604" s="10" t="n">
        <v>0</v>
      </c>
      <c r="O604" s="10" t="n">
        <v>0</v>
      </c>
      <c r="P604" s="10" t="b">
        <v>0</v>
      </c>
    </row>
    <row r="605">
      <c r="A605" s="10" t="inlineStr">
        <is>
          <t>Murder on the Orient Express</t>
        </is>
      </c>
      <c r="B605" s="10" t="inlineStr">
        <is>
          <t>card_604</t>
        </is>
      </c>
      <c r="C605" s="10" t="inlineStr">
        <is>
          <t>Sidney Lumet</t>
        </is>
      </c>
      <c r="D605" s="10" t="n">
        <v>1974</v>
      </c>
      <c r="E605" s="10" t="n">
        <v>3.58</v>
      </c>
      <c r="F605" s="10" t="n">
        <v>74</v>
      </c>
      <c r="I605" s="10" t="n">
        <v>37700000</v>
      </c>
      <c r="J605" s="10" t="b">
        <v>0</v>
      </c>
      <c r="K605" s="10" t="n">
        <v>1400000</v>
      </c>
      <c r="L605" s="10" t="b">
        <v>0</v>
      </c>
      <c r="M605" s="10" t="n">
        <v>128</v>
      </c>
      <c r="N605" s="10" t="n">
        <v>1</v>
      </c>
      <c r="O605" s="10" t="n">
        <v>0</v>
      </c>
      <c r="P605" s="10" t="b">
        <v>0</v>
      </c>
    </row>
    <row r="606">
      <c r="A606" s="10" t="inlineStr">
        <is>
          <t>Nosferatu</t>
        </is>
      </c>
      <c r="B606" s="10" t="inlineStr">
        <is>
          <t>card_605</t>
        </is>
      </c>
      <c r="C606" s="10" t="inlineStr">
        <is>
          <t>F. W. Murnau</t>
        </is>
      </c>
      <c r="D606" s="10" t="n">
        <v>1922</v>
      </c>
      <c r="E606" s="10" t="n">
        <v>3.82</v>
      </c>
      <c r="F606" s="10" t="n">
        <v>79</v>
      </c>
      <c r="I606" s="10" t="n">
        <v>1000000</v>
      </c>
      <c r="J606" s="10" t="b">
        <v>1</v>
      </c>
      <c r="K606" s="10" t="n">
        <v>100000</v>
      </c>
      <c r="L606" s="10" t="b">
        <v>1</v>
      </c>
      <c r="M606" s="10" t="n">
        <v>94</v>
      </c>
      <c r="N606" s="10" t="n">
        <v>0</v>
      </c>
      <c r="O606" s="10" t="n">
        <v>0</v>
      </c>
      <c r="P606" s="10" t="b">
        <v>0</v>
      </c>
    </row>
    <row r="607">
      <c r="A607" s="10" t="inlineStr">
        <is>
          <t>Dracula</t>
        </is>
      </c>
      <c r="B607" s="10" t="inlineStr">
        <is>
          <t>card_606</t>
        </is>
      </c>
      <c r="C607" s="10" t="inlineStr">
        <is>
          <t>Tod Browning</t>
        </is>
      </c>
      <c r="D607" s="10" t="n">
        <v>1931</v>
      </c>
      <c r="E607" s="10" t="n">
        <v>3.45</v>
      </c>
      <c r="F607" s="10" t="n">
        <v>72</v>
      </c>
      <c r="I607" s="10" t="n">
        <v>700000</v>
      </c>
      <c r="J607" s="10" t="b">
        <v>1</v>
      </c>
      <c r="K607" s="10" t="n">
        <v>341191</v>
      </c>
      <c r="L607" s="10" t="b">
        <v>0</v>
      </c>
      <c r="M607" s="10" t="n">
        <v>74</v>
      </c>
      <c r="N607" s="10" t="n">
        <v>0</v>
      </c>
      <c r="O607" s="10" t="n">
        <v>0</v>
      </c>
      <c r="P607" s="10" t="b">
        <v>0</v>
      </c>
    </row>
    <row r="608">
      <c r="A608" s="10" t="inlineStr">
        <is>
          <t>Dracula (1958)</t>
        </is>
      </c>
      <c r="B608" s="10" t="inlineStr">
        <is>
          <t>card_607</t>
        </is>
      </c>
      <c r="C608" s="10" t="inlineStr">
        <is>
          <t>Terence Fisher</t>
        </is>
      </c>
      <c r="D608" s="10" t="n">
        <v>1958</v>
      </c>
      <c r="E608" s="10" t="n">
        <v>3.6</v>
      </c>
      <c r="I608" s="10" t="n">
        <v>3500000</v>
      </c>
      <c r="J608" s="10" t="b">
        <v>0</v>
      </c>
      <c r="K608" s="10" t="n">
        <v>228000</v>
      </c>
      <c r="L608" s="10" t="b">
        <v>0</v>
      </c>
      <c r="M608" s="10" t="n">
        <v>82</v>
      </c>
      <c r="N608" s="10" t="n">
        <v>0</v>
      </c>
      <c r="O608" s="10" t="n">
        <v>0</v>
      </c>
      <c r="P608" s="10" t="b">
        <v>0</v>
      </c>
    </row>
    <row r="609">
      <c r="A609" s="10" t="inlineStr">
        <is>
          <t>Bram Stoker's Dracula</t>
        </is>
      </c>
      <c r="B609" s="10" t="inlineStr">
        <is>
          <t>card_608</t>
        </is>
      </c>
      <c r="C609" s="10" t="inlineStr">
        <is>
          <t>Francis Ford Coppola</t>
        </is>
      </c>
      <c r="D609" s="10" t="n">
        <v>1992</v>
      </c>
      <c r="E609" s="10" t="n">
        <v>3.74</v>
      </c>
      <c r="F609" s="10" t="n">
        <v>71</v>
      </c>
      <c r="I609" s="10" t="n">
        <v>215900000</v>
      </c>
      <c r="J609" s="10" t="b">
        <v>0</v>
      </c>
      <c r="K609" s="10" t="n">
        <v>40000000</v>
      </c>
      <c r="L609" s="10" t="b">
        <v>0</v>
      </c>
      <c r="M609" s="10" t="n">
        <v>128</v>
      </c>
      <c r="N609" s="10" t="n">
        <v>3</v>
      </c>
      <c r="O609" s="10" t="n">
        <v>5</v>
      </c>
      <c r="P609" s="10" t="b">
        <v>0</v>
      </c>
    </row>
    <row r="610">
      <c r="A610" s="10" t="inlineStr">
        <is>
          <t>Frankenstein</t>
        </is>
      </c>
      <c r="B610" s="10" t="inlineStr">
        <is>
          <t>card_609</t>
        </is>
      </c>
      <c r="C610" s="10" t="inlineStr">
        <is>
          <t>James Whale</t>
        </is>
      </c>
      <c r="D610" s="10" t="n">
        <v>1931</v>
      </c>
      <c r="E610" s="10" t="n">
        <v>3.77</v>
      </c>
      <c r="I610" s="10" t="n">
        <v>12000000</v>
      </c>
      <c r="J610" s="10" t="b">
        <v>0</v>
      </c>
      <c r="K610" s="10" t="n">
        <v>262007</v>
      </c>
      <c r="L610" s="10" t="b">
        <v>0</v>
      </c>
      <c r="M610" s="10" t="n">
        <v>70</v>
      </c>
      <c r="N610" s="10" t="n">
        <v>0</v>
      </c>
      <c r="O610" s="10" t="n">
        <v>0</v>
      </c>
      <c r="P610" s="10" t="b">
        <v>0</v>
      </c>
    </row>
    <row r="611">
      <c r="A611" s="10" t="inlineStr">
        <is>
          <t>Bride of Frankenstein</t>
        </is>
      </c>
      <c r="B611" s="10" t="inlineStr">
        <is>
          <t>card_610</t>
        </is>
      </c>
      <c r="C611" s="10" t="inlineStr">
        <is>
          <t>James Whale</t>
        </is>
      </c>
      <c r="D611" s="10" t="n">
        <v>1935</v>
      </c>
      <c r="E611" s="10" t="n">
        <v>3.96</v>
      </c>
      <c r="I611" s="10" t="n">
        <v>2000000</v>
      </c>
      <c r="J611" s="10" t="b">
        <v>0</v>
      </c>
      <c r="K611" s="10" t="n">
        <v>397000</v>
      </c>
      <c r="L611" s="10" t="b">
        <v>0</v>
      </c>
      <c r="M611" s="10" t="n">
        <v>75</v>
      </c>
      <c r="N611" s="10" t="n">
        <v>0</v>
      </c>
      <c r="O611" s="10" t="n">
        <v>0</v>
      </c>
      <c r="P611" s="10" t="b">
        <v>0</v>
      </c>
    </row>
    <row r="612">
      <c r="A612" s="10" t="inlineStr">
        <is>
          <t>Young Frankenstein</t>
        </is>
      </c>
      <c r="B612" s="10" t="inlineStr">
        <is>
          <t>card_611</t>
        </is>
      </c>
      <c r="C612" s="10" t="inlineStr">
        <is>
          <t>Mel Brooks</t>
        </is>
      </c>
      <c r="D612" s="10" t="n">
        <v>1974</v>
      </c>
      <c r="E612" s="10" t="n">
        <v>4.01</v>
      </c>
      <c r="F612" s="10" t="n">
        <v>82</v>
      </c>
      <c r="I612" s="10" t="n">
        <v>86200000</v>
      </c>
      <c r="J612" s="10" t="b">
        <v>0</v>
      </c>
      <c r="K612" s="10" t="n">
        <v>2780000</v>
      </c>
      <c r="L612" s="10" t="b">
        <v>0</v>
      </c>
      <c r="M612" s="10" t="n">
        <v>105</v>
      </c>
      <c r="N612" s="10" t="n">
        <v>0</v>
      </c>
      <c r="O612" s="10" t="n">
        <v>0</v>
      </c>
      <c r="P612" s="10" t="b">
        <v>0</v>
      </c>
    </row>
    <row r="613">
      <c r="A613" s="10" t="inlineStr">
        <is>
          <t>The Mummy</t>
        </is>
      </c>
      <c r="B613" s="10" t="inlineStr">
        <is>
          <t>card_612</t>
        </is>
      </c>
      <c r="C613" s="10" t="inlineStr">
        <is>
          <t>Karl Freund</t>
        </is>
      </c>
      <c r="D613" s="10" t="n">
        <v>1932</v>
      </c>
      <c r="E613" s="10" t="n">
        <v>3.27</v>
      </c>
      <c r="I613" s="10" t="n">
        <v>1000000</v>
      </c>
      <c r="J613" s="10" t="b">
        <v>1</v>
      </c>
      <c r="K613" s="10" t="n">
        <v>196000</v>
      </c>
      <c r="L613" s="10" t="b">
        <v>0</v>
      </c>
      <c r="M613" s="10" t="n">
        <v>73</v>
      </c>
      <c r="N613" s="10" t="n">
        <v>0</v>
      </c>
      <c r="O613" s="10" t="n">
        <v>0</v>
      </c>
      <c r="P613" s="10" t="b">
        <v>0</v>
      </c>
    </row>
    <row r="614">
      <c r="A614" s="10" t="inlineStr">
        <is>
          <t>The Mummy (1999)</t>
        </is>
      </c>
      <c r="B614" s="10" t="inlineStr">
        <is>
          <t>card_613</t>
        </is>
      </c>
      <c r="C614" s="10" t="inlineStr">
        <is>
          <t>Stephen Sommers</t>
        </is>
      </c>
      <c r="D614" s="10" t="n">
        <v>1999</v>
      </c>
      <c r="E614" s="10" t="n">
        <v>3.61</v>
      </c>
      <c r="F614" s="10" t="n">
        <v>77</v>
      </c>
      <c r="I614" s="10" t="n">
        <v>422500000</v>
      </c>
      <c r="J614" s="10" t="b">
        <v>0</v>
      </c>
      <c r="K614" s="10" t="n">
        <v>80000000</v>
      </c>
      <c r="L614" s="10" t="b">
        <v>0</v>
      </c>
      <c r="M614" s="10" t="n">
        <v>125</v>
      </c>
      <c r="N614" s="10" t="n">
        <v>0</v>
      </c>
      <c r="O614" s="10" t="n">
        <v>0</v>
      </c>
      <c r="P614" s="10" t="b">
        <v>0</v>
      </c>
    </row>
    <row r="615">
      <c r="A615" s="10" t="inlineStr">
        <is>
          <t>One Hundred and One Dalmatians</t>
        </is>
      </c>
      <c r="B615" s="10" t="inlineStr">
        <is>
          <t>card_614</t>
        </is>
      </c>
      <c r="C615" s="10" t="inlineStr">
        <is>
          <t>Wolfgang Reitherman, Hamilton Luske and Clyde Geronimi</t>
        </is>
      </c>
      <c r="D615" s="10" t="n">
        <v>1961</v>
      </c>
      <c r="E615" s="10" t="n">
        <v>3.75</v>
      </c>
      <c r="F615" s="10" t="n">
        <v>69</v>
      </c>
      <c r="I615" s="10" t="n">
        <v>303000000</v>
      </c>
      <c r="J615" s="10" t="b">
        <v>0</v>
      </c>
      <c r="K615" s="10" t="n">
        <v>3900000</v>
      </c>
      <c r="L615" s="10" t="b">
        <v>0</v>
      </c>
      <c r="M615" s="10" t="n">
        <v>79</v>
      </c>
      <c r="N615" s="10" t="n">
        <v>0</v>
      </c>
      <c r="O615" s="10" t="n">
        <v>0</v>
      </c>
      <c r="P615" s="10" t="b">
        <v>0</v>
      </c>
    </row>
    <row r="616">
      <c r="A616" s="10" t="inlineStr">
        <is>
          <t>The Sword in the Stone</t>
        </is>
      </c>
      <c r="B616" s="10" t="inlineStr">
        <is>
          <t>card_615</t>
        </is>
      </c>
      <c r="C616" s="10" t="inlineStr">
        <is>
          <t>Wolfgang Reitherman</t>
        </is>
      </c>
      <c r="D616" s="10" t="n">
        <v>1963</v>
      </c>
      <c r="E616" s="10" t="n">
        <v>3.45</v>
      </c>
      <c r="F616" s="10" t="n">
        <v>72</v>
      </c>
      <c r="I616" s="10" t="n">
        <v>22200000</v>
      </c>
      <c r="J616" s="10" t="b">
        <v>1</v>
      </c>
      <c r="K616" s="10" t="n">
        <v>3000000</v>
      </c>
      <c r="L616" s="10" t="b">
        <v>0</v>
      </c>
      <c r="M616" s="10" t="n">
        <v>79</v>
      </c>
      <c r="N616" s="10" t="n">
        <v>0</v>
      </c>
      <c r="O616" s="10" t="n">
        <v>0</v>
      </c>
      <c r="P616" s="10" t="b">
        <v>0</v>
      </c>
    </row>
    <row r="617">
      <c r="A617" s="10" t="inlineStr">
        <is>
          <t>The Jungle Book</t>
        </is>
      </c>
      <c r="B617" s="10" t="inlineStr">
        <is>
          <t>card_616</t>
        </is>
      </c>
      <c r="C617" s="10" t="inlineStr">
        <is>
          <t>Wolfgang Reitherman</t>
        </is>
      </c>
      <c r="D617" s="10" t="n">
        <v>1967</v>
      </c>
      <c r="E617" s="10" t="n">
        <v>3.71</v>
      </c>
      <c r="F617" s="10" t="n">
        <v>77</v>
      </c>
      <c r="I617" s="10" t="n">
        <v>378000000</v>
      </c>
      <c r="J617" s="10" t="b">
        <v>0</v>
      </c>
      <c r="K617" s="10" t="n">
        <v>4000000</v>
      </c>
      <c r="L617" s="10" t="b">
        <v>0</v>
      </c>
      <c r="M617" s="10" t="n">
        <v>78</v>
      </c>
      <c r="N617" s="10" t="n">
        <v>0</v>
      </c>
      <c r="O617" s="10" t="n">
        <v>0</v>
      </c>
      <c r="P617" s="10" t="b">
        <v>0</v>
      </c>
    </row>
    <row r="618">
      <c r="A618" s="10" t="inlineStr">
        <is>
          <t>The Aristocats</t>
        </is>
      </c>
      <c r="B618" s="10" t="inlineStr">
        <is>
          <t>card_617</t>
        </is>
      </c>
      <c r="C618" s="10" t="inlineStr">
        <is>
          <t>Wolfgang Reitherman</t>
        </is>
      </c>
      <c r="D618" s="10" t="n">
        <v>1970</v>
      </c>
      <c r="E618" s="10" t="n">
        <v>3.78</v>
      </c>
      <c r="F618" s="10" t="n">
        <v>67</v>
      </c>
      <c r="I618" s="10" t="n">
        <v>191000000</v>
      </c>
      <c r="J618" s="10" t="b">
        <v>0</v>
      </c>
      <c r="K618" s="10" t="n">
        <v>4000000</v>
      </c>
      <c r="L618" s="10" t="b">
        <v>0</v>
      </c>
      <c r="M618" s="10" t="n">
        <v>79</v>
      </c>
      <c r="N618" s="10" t="n">
        <v>0</v>
      </c>
      <c r="O618" s="10" t="n">
        <v>0</v>
      </c>
      <c r="P618" s="10" t="b">
        <v>0</v>
      </c>
    </row>
    <row r="619">
      <c r="A619" s="10" t="inlineStr">
        <is>
          <t>Robin Hood</t>
        </is>
      </c>
      <c r="B619" s="10" t="inlineStr">
        <is>
          <t>card_618</t>
        </is>
      </c>
      <c r="C619" s="10" t="inlineStr">
        <is>
          <t>Wolfgang Reitherman</t>
        </is>
      </c>
      <c r="D619" s="10" t="n">
        <v>1973</v>
      </c>
      <c r="E619" s="10" t="n">
        <v>3.77</v>
      </c>
      <c r="F619" s="10" t="n">
        <v>63</v>
      </c>
      <c r="I619" s="10" t="n">
        <v>33000000</v>
      </c>
      <c r="J619" s="10" t="b">
        <v>0</v>
      </c>
      <c r="K619" s="10" t="n">
        <v>5000000</v>
      </c>
      <c r="L619" s="10" t="b">
        <v>0</v>
      </c>
      <c r="M619" s="10" t="n">
        <v>83</v>
      </c>
      <c r="N619" s="10" t="n">
        <v>0</v>
      </c>
      <c r="O619" s="10" t="n">
        <v>0</v>
      </c>
      <c r="P619" s="10" t="b">
        <v>0</v>
      </c>
    </row>
    <row r="620">
      <c r="A620" s="10" t="inlineStr">
        <is>
          <t>The Many Adventures of Winnie the Pooh</t>
        </is>
      </c>
      <c r="B620" s="10" t="inlineStr">
        <is>
          <t>card_619</t>
        </is>
      </c>
      <c r="C620" s="10" t="inlineStr">
        <is>
          <t>Wolfgang Reitherman and John Lounsbery</t>
        </is>
      </c>
      <c r="D620" s="10" t="n">
        <v>1977</v>
      </c>
      <c r="E620" s="10" t="n">
        <v>3.77</v>
      </c>
      <c r="F620" s="10" t="n">
        <v>80</v>
      </c>
      <c r="I620" s="10" t="n">
        <v>25000000</v>
      </c>
      <c r="J620" s="10" t="b">
        <v>1</v>
      </c>
      <c r="K620" s="10" t="n">
        <v>5000000</v>
      </c>
      <c r="L620" s="10" t="b">
        <v>1</v>
      </c>
      <c r="M620" s="10" t="n">
        <v>74</v>
      </c>
      <c r="N620" s="10" t="n">
        <v>0</v>
      </c>
      <c r="O620" s="10" t="n">
        <v>0</v>
      </c>
      <c r="P620" s="10" t="b">
        <v>0</v>
      </c>
    </row>
    <row r="621">
      <c r="A621" s="10" t="inlineStr">
        <is>
          <t>The Rescuers</t>
        </is>
      </c>
      <c r="B621" s="10" t="inlineStr">
        <is>
          <t>card_620</t>
        </is>
      </c>
      <c r="C621" s="10" t="inlineStr">
        <is>
          <t>Wolfgang Reitherman, John Lounsbery and Art Stevens</t>
        </is>
      </c>
      <c r="D621" s="10" t="n">
        <v>1977</v>
      </c>
      <c r="E621" s="10" t="n">
        <v>3.47</v>
      </c>
      <c r="F621" s="10" t="n">
        <v>69</v>
      </c>
      <c r="I621" s="10" t="n">
        <v>169000000</v>
      </c>
      <c r="J621" s="10" t="b">
        <v>0</v>
      </c>
      <c r="K621" s="10" t="n">
        <v>7500000</v>
      </c>
      <c r="L621" s="10" t="b">
        <v>0</v>
      </c>
      <c r="M621" s="10" t="n">
        <v>77</v>
      </c>
      <c r="N621" s="10" t="n">
        <v>0</v>
      </c>
      <c r="O621" s="10" t="n">
        <v>0</v>
      </c>
      <c r="P621" s="10" t="b">
        <v>0</v>
      </c>
    </row>
    <row r="622">
      <c r="A622" s="10" t="inlineStr">
        <is>
          <t>The Fox and the Hound</t>
        </is>
      </c>
      <c r="B622" s="10" t="inlineStr">
        <is>
          <t>card_621</t>
        </is>
      </c>
      <c r="C622" s="10" t="inlineStr">
        <is>
          <t>Ted Berman, Richard Rich and Art Stevens</t>
        </is>
      </c>
      <c r="D622" s="10" t="n">
        <v>1981</v>
      </c>
      <c r="E622" s="10" t="n">
        <v>3.77</v>
      </c>
      <c r="F622" s="10" t="n">
        <v>78</v>
      </c>
      <c r="I622" s="10" t="n">
        <v>63500000</v>
      </c>
      <c r="J622" s="10" t="b">
        <v>0</v>
      </c>
      <c r="K622" s="10" t="n">
        <v>12000000</v>
      </c>
      <c r="L622" s="10" t="b">
        <v>0</v>
      </c>
      <c r="M622" s="10" t="n">
        <v>83</v>
      </c>
      <c r="N622" s="10" t="n">
        <v>0</v>
      </c>
      <c r="O622" s="10" t="n">
        <v>0</v>
      </c>
      <c r="P622" s="10" t="b">
        <v>0</v>
      </c>
    </row>
    <row r="623">
      <c r="A623" s="10" t="inlineStr">
        <is>
          <t>The Black Cauldron</t>
        </is>
      </c>
      <c r="B623" s="10" t="inlineStr">
        <is>
          <t>card_622</t>
        </is>
      </c>
      <c r="C623" s="10" t="inlineStr">
        <is>
          <t>Ted Berman and Richard Rich</t>
        </is>
      </c>
      <c r="D623" s="10" t="n">
        <v>1985</v>
      </c>
      <c r="E623" s="10" t="n">
        <v>3.1</v>
      </c>
      <c r="F623" s="10" t="n">
        <v>58</v>
      </c>
      <c r="I623" s="10" t="n">
        <v>21300000</v>
      </c>
      <c r="J623" s="10" t="b">
        <v>0</v>
      </c>
      <c r="K623" s="10" t="n">
        <v>44000000</v>
      </c>
      <c r="L623" s="10" t="b">
        <v>0</v>
      </c>
      <c r="M623" s="10" t="n">
        <v>80</v>
      </c>
      <c r="N623" s="10" t="n">
        <v>0</v>
      </c>
      <c r="O623" s="10" t="n">
        <v>0</v>
      </c>
      <c r="P623" s="10" t="b">
        <v>0</v>
      </c>
    </row>
    <row r="624">
      <c r="A624" s="10" t="inlineStr">
        <is>
          <t>The Great Mouse Detective</t>
        </is>
      </c>
      <c r="B624" s="10" t="inlineStr">
        <is>
          <t>card_623</t>
        </is>
      </c>
      <c r="C624" s="10" t="inlineStr">
        <is>
          <t>John Musker, Ron Clements, Dave Michener and Burny Mattinson</t>
        </is>
      </c>
      <c r="D624" s="10" t="n">
        <v>1986</v>
      </c>
      <c r="E624" s="10" t="n">
        <v>3.64</v>
      </c>
      <c r="F624" s="10" t="n">
        <v>77</v>
      </c>
      <c r="I624" s="10" t="n">
        <v>50000000</v>
      </c>
      <c r="J624" s="10" t="b">
        <v>0</v>
      </c>
      <c r="K624" s="10" t="n">
        <v>14000000</v>
      </c>
      <c r="L624" s="10" t="b">
        <v>0</v>
      </c>
      <c r="M624" s="10" t="n">
        <v>74</v>
      </c>
      <c r="N624" s="10" t="n">
        <v>0</v>
      </c>
      <c r="O624" s="10" t="n">
        <v>0</v>
      </c>
      <c r="P624" s="10" t="b">
        <v>0</v>
      </c>
    </row>
    <row r="625">
      <c r="A625" s="10" t="inlineStr">
        <is>
          <t>Oliver &amp; Company</t>
        </is>
      </c>
      <c r="B625" s="10" t="inlineStr">
        <is>
          <t>card_624</t>
        </is>
      </c>
      <c r="C625" s="10" t="inlineStr">
        <is>
          <t>George Scribner</t>
        </is>
      </c>
      <c r="D625" s="10" t="n">
        <v>1988</v>
      </c>
      <c r="E625" s="10" t="n">
        <v>3.31</v>
      </c>
      <c r="F625" s="10" t="n">
        <v>70</v>
      </c>
      <c r="I625" s="10" t="n">
        <v>121000000</v>
      </c>
      <c r="J625" s="10" t="b">
        <v>0</v>
      </c>
      <c r="K625" s="10" t="n">
        <v>31000000</v>
      </c>
      <c r="L625" s="10" t="b">
        <v>0</v>
      </c>
      <c r="M625" s="10" t="n">
        <v>74</v>
      </c>
      <c r="N625" s="10" t="n">
        <v>0</v>
      </c>
      <c r="O625" s="10" t="n">
        <v>0</v>
      </c>
      <c r="P625" s="10" t="b">
        <v>0</v>
      </c>
    </row>
    <row r="626">
      <c r="A626" s="10" t="inlineStr">
        <is>
          <t>The Little Mermaid</t>
        </is>
      </c>
      <c r="B626" s="10" t="inlineStr">
        <is>
          <t>card_625</t>
        </is>
      </c>
      <c r="C626" s="10" t="inlineStr">
        <is>
          <t>John Musker and Ron Clements</t>
        </is>
      </c>
      <c r="D626" s="10" t="n">
        <v>1989</v>
      </c>
      <c r="E626" s="10" t="n">
        <v>3.71</v>
      </c>
      <c r="F626" s="10" t="n">
        <v>73</v>
      </c>
      <c r="I626" s="10" t="n">
        <v>235000000</v>
      </c>
      <c r="J626" s="10" t="b">
        <v>0</v>
      </c>
      <c r="K626" s="10" t="n">
        <v>40000000</v>
      </c>
      <c r="L626" s="10" t="b">
        <v>0</v>
      </c>
      <c r="M626" s="10" t="n">
        <v>83</v>
      </c>
      <c r="N626" s="10" t="n">
        <v>2</v>
      </c>
      <c r="O626" s="10" t="n">
        <v>0</v>
      </c>
      <c r="P626" s="10" t="b">
        <v>0</v>
      </c>
    </row>
    <row r="627">
      <c r="A627" s="10" t="inlineStr">
        <is>
          <t>The Rescuers Down Under</t>
        </is>
      </c>
      <c r="B627" s="10" t="inlineStr">
        <is>
          <t>card_626</t>
        </is>
      </c>
      <c r="C627" s="10" t="inlineStr">
        <is>
          <t>Hendel Butoy and Mike Gabriel</t>
        </is>
      </c>
      <c r="D627" s="10" t="n">
        <v>1990</v>
      </c>
      <c r="E627" s="10" t="n">
        <v>3.24</v>
      </c>
      <c r="F627" s="10" t="n">
        <v>69</v>
      </c>
      <c r="I627" s="10" t="n">
        <v>47400000</v>
      </c>
      <c r="J627" s="10" t="b">
        <v>0</v>
      </c>
      <c r="K627" s="10" t="n">
        <v>38000000</v>
      </c>
      <c r="L627" s="10" t="b">
        <v>0</v>
      </c>
      <c r="M627" s="10" t="n">
        <v>77</v>
      </c>
      <c r="N627" s="10" t="n">
        <v>0</v>
      </c>
      <c r="O627" s="10" t="n">
        <v>0</v>
      </c>
      <c r="P627" s="10" t="b">
        <v>0</v>
      </c>
    </row>
    <row r="628">
      <c r="A628" s="10" t="inlineStr">
        <is>
          <t>Beauty and the Beast</t>
        </is>
      </c>
      <c r="B628" s="10" t="inlineStr">
        <is>
          <t>card_627</t>
        </is>
      </c>
      <c r="C628" s="10" t="inlineStr">
        <is>
          <t>Gary Trousdale and Kirk Wise</t>
        </is>
      </c>
      <c r="D628" s="10" t="n">
        <v>1991</v>
      </c>
      <c r="E628" s="10" t="n">
        <v>4.08</v>
      </c>
      <c r="F628" s="10" t="n">
        <v>84</v>
      </c>
      <c r="I628" s="10" t="n">
        <v>451200000</v>
      </c>
      <c r="J628" s="10" t="b">
        <v>0</v>
      </c>
      <c r="K628" s="10" t="n">
        <v>25000000</v>
      </c>
      <c r="L628" s="10" t="b">
        <v>0</v>
      </c>
      <c r="M628" s="10" t="n">
        <v>84</v>
      </c>
      <c r="N628" s="10" t="n">
        <v>2</v>
      </c>
      <c r="O628" s="10" t="n">
        <v>0</v>
      </c>
      <c r="P628" s="10" t="b">
        <v>0</v>
      </c>
    </row>
    <row r="629">
      <c r="A629" t="inlineStr">
        <is>
          <t>Pocahontas</t>
        </is>
      </c>
      <c r="B629" t="inlineStr">
        <is>
          <t>card_628</t>
        </is>
      </c>
      <c r="C629" t="inlineStr">
        <is>
          <t>Mike Gabriel and Eric Goldberg</t>
        </is>
      </c>
      <c r="D629" t="n">
        <v>1995</v>
      </c>
      <c r="E629" t="n">
        <v>3.3</v>
      </c>
      <c r="F629" t="n">
        <v>71</v>
      </c>
      <c r="I629" t="n">
        <v>346100000</v>
      </c>
      <c r="J629" t="b">
        <v>0</v>
      </c>
      <c r="K629" t="n">
        <v>55000000</v>
      </c>
      <c r="L629" t="b">
        <v>0</v>
      </c>
      <c r="M629" t="n">
        <v>81</v>
      </c>
      <c r="N629" t="n">
        <v>2</v>
      </c>
      <c r="O629" t="n">
        <v>0</v>
      </c>
      <c r="P629" t="b">
        <v>0</v>
      </c>
    </row>
    <row r="630">
      <c r="A630" t="inlineStr">
        <is>
          <t>The Hunchback of Notre Dame</t>
        </is>
      </c>
      <c r="B630" t="inlineStr">
        <is>
          <t>card_629</t>
        </is>
      </c>
      <c r="C630" t="inlineStr">
        <is>
          <t>Gary Trousdale and Kirk Wise</t>
        </is>
      </c>
      <c r="D630" t="n">
        <v>1996</v>
      </c>
      <c r="E630" t="n">
        <v>3.44</v>
      </c>
      <c r="F630" t="n">
        <v>78</v>
      </c>
      <c r="I630" t="n">
        <v>325000000</v>
      </c>
      <c r="J630" t="b">
        <v>0</v>
      </c>
      <c r="K630" t="n">
        <v>70000000</v>
      </c>
      <c r="L630" t="b">
        <v>0</v>
      </c>
      <c r="M630" t="n">
        <v>91</v>
      </c>
      <c r="N630" t="n">
        <v>0</v>
      </c>
      <c r="O630" t="n">
        <v>0</v>
      </c>
      <c r="P630" t="b">
        <v>0</v>
      </c>
    </row>
    <row r="631">
      <c r="A631" t="inlineStr">
        <is>
          <t>Hercules</t>
        </is>
      </c>
      <c r="B631" t="inlineStr">
        <is>
          <t>card_630</t>
        </is>
      </c>
      <c r="C631" t="inlineStr">
        <is>
          <t>John Musker and Ron Clements</t>
        </is>
      </c>
      <c r="D631" t="n">
        <v>1997</v>
      </c>
      <c r="E631" t="n">
        <v>2.67</v>
      </c>
      <c r="F631" t="n">
        <v>62</v>
      </c>
      <c r="I631" t="n">
        <v>252700000</v>
      </c>
      <c r="J631" t="b">
        <v>0</v>
      </c>
      <c r="K631" t="n">
        <v>85000000</v>
      </c>
      <c r="L631" t="b">
        <v>0</v>
      </c>
      <c r="M631" t="n">
        <v>93</v>
      </c>
      <c r="N631" t="n">
        <v>0</v>
      </c>
      <c r="O631" t="n">
        <v>0</v>
      </c>
      <c r="P631" t="b">
        <v>0</v>
      </c>
    </row>
    <row r="632">
      <c r="A632" t="inlineStr">
        <is>
          <t>Mulan</t>
        </is>
      </c>
      <c r="B632" t="inlineStr">
        <is>
          <t>card_631</t>
        </is>
      </c>
      <c r="C632" t="inlineStr">
        <is>
          <t>Barry Cook and Tony Bancroft</t>
        </is>
      </c>
      <c r="D632" t="n">
        <v>1998</v>
      </c>
      <c r="E632" t="n">
        <v>4.17</v>
      </c>
      <c r="F632" t="n">
        <v>82</v>
      </c>
      <c r="I632" t="n">
        <v>304000000</v>
      </c>
      <c r="J632" t="b">
        <v>0</v>
      </c>
      <c r="K632" t="n">
        <v>90000000</v>
      </c>
      <c r="L632" t="b">
        <v>0</v>
      </c>
      <c r="M632" t="n">
        <v>88</v>
      </c>
      <c r="N632" t="n">
        <v>0</v>
      </c>
      <c r="O632" t="n">
        <v>0</v>
      </c>
      <c r="P632" t="b">
        <v>0</v>
      </c>
    </row>
    <row r="633">
      <c r="A633" t="inlineStr">
        <is>
          <t>Tarzan</t>
        </is>
      </c>
      <c r="B633" t="inlineStr">
        <is>
          <t>card_632</t>
        </is>
      </c>
      <c r="C633" t="inlineStr">
        <is>
          <t>Kevin Lima and Chris Buck</t>
        </is>
      </c>
      <c r="D633" t="n">
        <v>1999</v>
      </c>
      <c r="E633" t="n">
        <v>3.74</v>
      </c>
      <c r="F633" t="n">
        <v>78</v>
      </c>
      <c r="I633" t="n">
        <v>448200000</v>
      </c>
      <c r="J633" t="b">
        <v>0</v>
      </c>
      <c r="K633" t="n">
        <v>130000000</v>
      </c>
      <c r="L633" t="b">
        <v>0</v>
      </c>
      <c r="M633" t="n">
        <v>88</v>
      </c>
      <c r="N633" t="n">
        <v>1</v>
      </c>
      <c r="O633" t="n">
        <v>0</v>
      </c>
      <c r="P633" t="b">
        <v>0</v>
      </c>
    </row>
    <row r="634">
      <c r="A634" t="inlineStr">
        <is>
          <t>Fantasia 2000</t>
        </is>
      </c>
      <c r="B634" t="inlineStr">
        <is>
          <t>card_633</t>
        </is>
      </c>
      <c r="C634" t="inlineStr">
        <is>
          <t>Pixote Hunt, Hendel Butoy and Eric Goldberg</t>
        </is>
      </c>
      <c r="D634" t="n">
        <v>1999</v>
      </c>
      <c r="E634" t="n">
        <v>3.64</v>
      </c>
      <c r="F634" t="n">
        <v>72</v>
      </c>
      <c r="I634" t="n">
        <v>90900000</v>
      </c>
      <c r="J634" t="b">
        <v>0</v>
      </c>
      <c r="K634" t="n">
        <v>80000000</v>
      </c>
      <c r="L634" t="b">
        <v>0</v>
      </c>
      <c r="M634" t="n">
        <v>75</v>
      </c>
      <c r="N634" t="n">
        <v>0</v>
      </c>
      <c r="O634" t="n">
        <v>0</v>
      </c>
      <c r="P634" t="b">
        <v>0</v>
      </c>
    </row>
    <row r="635">
      <c r="A635" t="inlineStr">
        <is>
          <t>Dinosaur</t>
        </is>
      </c>
      <c r="B635" t="inlineStr">
        <is>
          <t>card_634</t>
        </is>
      </c>
      <c r="C635" t="inlineStr">
        <is>
          <t>Ralph Zondag and Eric Leighton</t>
        </is>
      </c>
      <c r="D635" t="n">
        <v>2000</v>
      </c>
      <c r="E635" t="n">
        <v>3.04</v>
      </c>
      <c r="F635" t="n">
        <v>66</v>
      </c>
      <c r="I635" t="n">
        <v>349800000</v>
      </c>
      <c r="J635" t="b">
        <v>0</v>
      </c>
      <c r="K635" t="n">
        <v>127500000</v>
      </c>
      <c r="L635" t="b">
        <v>0</v>
      </c>
      <c r="M635" t="n">
        <v>82</v>
      </c>
      <c r="N635" t="n">
        <v>0</v>
      </c>
      <c r="O635" t="n">
        <v>0</v>
      </c>
      <c r="P635" t="b">
        <v>0</v>
      </c>
    </row>
    <row r="636">
      <c r="A636" t="inlineStr">
        <is>
          <t>The Emperor's New Groove</t>
        </is>
      </c>
      <c r="B636" t="inlineStr">
        <is>
          <t>card_635</t>
        </is>
      </c>
      <c r="C636" t="inlineStr">
        <is>
          <t>Mark Dindal</t>
        </is>
      </c>
      <c r="D636" t="n">
        <v>2000</v>
      </c>
      <c r="E636" t="n">
        <v>3.94</v>
      </c>
      <c r="F636" t="n">
        <v>79</v>
      </c>
      <c r="I636" t="n">
        <v>169700000</v>
      </c>
      <c r="J636" t="b">
        <v>0</v>
      </c>
      <c r="K636" t="n">
        <v>100000000</v>
      </c>
      <c r="L636" t="b">
        <v>0</v>
      </c>
      <c r="M636" t="n">
        <v>78</v>
      </c>
      <c r="N636" t="n">
        <v>0</v>
      </c>
      <c r="O636" t="n">
        <v>0</v>
      </c>
      <c r="P636" t="b">
        <v>0</v>
      </c>
    </row>
    <row r="637">
      <c r="A637" t="inlineStr">
        <is>
          <t>Atlantis: The Lost Empire</t>
        </is>
      </c>
      <c r="B637" t="inlineStr">
        <is>
          <t>card_636</t>
        </is>
      </c>
      <c r="C637" t="inlineStr">
        <is>
          <t>Gary Trousdale and Kirk Wise</t>
        </is>
      </c>
      <c r="D637" t="n">
        <v>2001</v>
      </c>
      <c r="E637" t="n">
        <v>3.78</v>
      </c>
      <c r="F637" t="n">
        <v>72</v>
      </c>
      <c r="I637" t="n">
        <v>186100000</v>
      </c>
      <c r="J637" t="b">
        <v>0</v>
      </c>
      <c r="K637" t="n">
        <v>100000000</v>
      </c>
      <c r="L637" t="b">
        <v>0</v>
      </c>
      <c r="M637" t="n">
        <v>96</v>
      </c>
      <c r="N637" t="n">
        <v>0</v>
      </c>
      <c r="O637" t="n">
        <v>0</v>
      </c>
      <c r="P637" t="b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2026-09-02T16:42:18Z</dcterms:created>
  <dcterms:modified xsi:type="dcterms:W3CDTF">2026-09-14T16:06:33Z</dcterms:modified>
  <cp:revision>1</cp:revision>
</cp:coreProperties>
</file>